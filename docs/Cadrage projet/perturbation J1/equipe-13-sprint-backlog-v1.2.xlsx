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stry Gamer\Downloads\"/>
    </mc:Choice>
  </mc:AlternateContent>
  <xr:revisionPtr revIDLastSave="0" documentId="13_ncr:1_{7CA6FCA2-80E6-4EAE-9EC1-3E2EF2C5CA50}" xr6:coauthVersionLast="47" xr6:coauthVersionMax="47" xr10:uidLastSave="{00000000-0000-0000-0000-000000000000}"/>
  <bookViews>
    <workbookView xWindow="-105" yWindow="0" windowWidth="26010" windowHeight="20985" tabRatio="500" activeTab="1" xr2:uid="{00000000-000D-0000-FFFF-FFFF00000000}"/>
  </bookViews>
  <sheets>
    <sheet name="Garde" sheetId="1" r:id="rId1"/>
    <sheet name="Identification" sheetId="2" r:id="rId2"/>
    <sheet name="Sprint" sheetId="3" r:id="rId3"/>
    <sheet name="Burndown Sprint" sheetId="4" r:id="rId4"/>
    <sheet name="Auto-évalu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4" l="1"/>
  <c r="B10" i="4"/>
  <c r="B9" i="4"/>
  <c r="D9" i="4"/>
  <c r="F64" i="3"/>
  <c r="E64" i="3"/>
  <c r="F59" i="3"/>
  <c r="E59" i="3"/>
  <c r="F46" i="3"/>
  <c r="E46" i="3"/>
  <c r="F34" i="3"/>
  <c r="E34" i="3"/>
  <c r="D10" i="4" l="1"/>
  <c r="D12" i="4"/>
</calcChain>
</file>

<file path=xl/sharedStrings.xml><?xml version="1.0" encoding="utf-8"?>
<sst xmlns="http://schemas.openxmlformats.org/spreadsheetml/2006/main" count="364" uniqueCount="223">
  <si>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</si>
  <si>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</si>
  <si>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</si>
  <si>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</si>
  <si>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</si>
  <si>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</si>
  <si>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</si>
  <si>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</si>
  <si>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</si>
  <si>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</si>
  <si>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</si>
  <si>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</si>
  <si>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</si>
  <si>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</si>
  <si>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</si>
  <si>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</si>
  <si>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</si>
  <si>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</si>
  <si>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</si>
  <si>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</si>
  <si>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</si>
  <si>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</si>
  <si>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</si>
  <si>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</si>
  <si>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</si>
  <si>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</si>
  <si>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</si>
  <si>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</si>
  <si>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</si>
  <si>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</si>
  <si>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</si>
  <si>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</si>
  <si>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</si>
  <si>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</si>
  <si>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</si>
  <si>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</si>
  <si>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</si>
  <si>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</si>
  <si>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</si>
  <si>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</si>
  <si>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</si>
  <si>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</si>
  <si>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</si>
  <si>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</si>
  <si>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</si>
  <si>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</si>
  <si>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</si>
  <si>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</si>
  <si>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</si>
  <si>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</si>
  <si>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</si>
  <si>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</si>
  <si>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</si>
  <si>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[ Prénom ]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</si>
  <si>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</si>
  <si>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</si>
  <si>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</si>
  <si>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</si>
  <si>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</si>
  <si>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</si>
  <si>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</si>
  <si>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</si>
  <si>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</si>
  <si>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</si>
  <si>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</si>
  <si>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</si>
  <si>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</si>
  <si>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</si>
  <si>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</si>
  <si>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</si>
  <si>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</si>
  <si>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</si>
  <si>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</si>
  <si>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</si>
  <si>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</si>
  <si>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</si>
  <si>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</si>
  <si>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</si>
  <si>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</si>
  <si>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</si>
  <si>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</si>
  <si>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</si>
  <si>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</si>
  <si>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</si>
  <si>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</si>
  <si>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</si>
  <si>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</si>
  <si>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</si>
  <si>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</si>
  <si>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</si>
  <si>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</si>
  <si>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</si>
  <si>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</si>
  <si>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</si>
  <si>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</si>
  <si>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16h00, Mi-sprint</t>
  </si>
  <si>
    <t>17h00, Avant clôture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</si>
  <si>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</si>
  <si>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</si>
  <si>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</si>
  <si>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</si>
  <si>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</si>
  <si>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</si>
  <si>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</si>
  <si>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</si>
  <si>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</si>
  <si>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</si>
  <si>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</si>
  <si>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</si>
  <si>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</si>
  <si>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</si>
  <si>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</si>
  <si>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</si>
  <si>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</si>
  <si>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</si>
  <si>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</si>
  <si>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</si>
  <si>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</si>
  <si>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</si>
  <si>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</si>
  <si>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</si>
  <si>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</si>
  <si>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</si>
  <si>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</si>
  <si>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</si>
  <si>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</si>
  <si>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</si>
  <si>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</si>
  <si>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</si>
  <si>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</si>
  <si>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</si>
  <si>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</si>
  <si>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</si>
  <si>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</si>
  <si>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</si>
  <si>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</si>
  <si>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</si>
  <si>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</si>
  <si>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</si>
  <si>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SPRINT 2 (S2) — Génération de quiz · US-03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</si>
  <si>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</si>
  <si>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</si>
  <si>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</si>
  <si>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</si>
  <si>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</si>
  <si>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</si>
  <si>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</si>
  <si>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</si>
  <si>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</si>
  <si>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</si>
  <si>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</si>
  <si>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</si>
  <si>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</si>
  <si>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</si>
  <si>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</si>
  <si>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</si>
  <si>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</si>
  <si>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</si>
  <si>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</si>
  <si>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</si>
  <si>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</si>
  <si>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</si>
  <si>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</si>
  <si>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</si>
  <si>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</si>
  <si>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</si>
  <si>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</si>
  <si>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</si>
  <si>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</si>
  <si>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</si>
  <si>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</si>
  <si>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</si>
  <si>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</si>
  <si>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</si>
  <si>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</si>
  <si>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</si>
  <si>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</si>
  <si>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</si>
  <si>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</si>
  <si>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</si>
  <si>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</si>
  <si>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SPRINT 4 (S4) — Historique · US-06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</si>
  <si>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</si>
  <si>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</si>
  <si>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</si>
  <si>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</si>
  <si>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</si>
  <si>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</si>
  <si>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</si>
  <si>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</si>
  <si>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</si>
  <si>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</si>
  <si>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</si>
  <si>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</si>
  <si>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</si>
  <si>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</si>
  <si>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</si>
  <si>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</si>
  <si>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</si>
  <si>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N°SPRINT</t>
  </si>
  <si>
    <t>S1</t>
  </si>
  <si>
    <t>S2</t>
  </si>
  <si>
    <t>S3</t>
  </si>
  <si>
    <t>S4</t>
  </si>
  <si>
    <t>S5</t>
  </si>
  <si>
    <t>S6</t>
  </si>
  <si>
    <t>S7</t>
  </si>
  <si>
    <t>Jacqueline</t>
  </si>
  <si>
    <t>Sebastien</t>
  </si>
  <si>
    <t>Amine</t>
  </si>
  <si>
    <t>Moussa</t>
  </si>
  <si>
    <t>Killian</t>
  </si>
  <si>
    <t>Syphax</t>
  </si>
  <si>
    <t>Tristan</t>
  </si>
  <si>
    <t>Tristan DZIOCH</t>
  </si>
  <si>
    <t>Prof</t>
  </si>
  <si>
    <t>Début sprint, toutes tâches en Todo, les 7 membres démarrent en parallèle sans attente</t>
  </si>
  <si>
    <t>Jacqueline, Killian, Amine, Moussa, Syphax, Tristan ont chacun terminé leur 1ʳᵉ tâche indépendante (modèles + UI mockées)</t>
  </si>
  <si>
    <t>Mi-sprint, point de vigilance : les endpoints (T-01.2, T-02.2) avancent bien mais légère friction sur la validation PDF chez Killian</t>
  </si>
  <si>
    <t>Reste le branchement API (T-01.3b, T-02.4b) et les derniers tests Sebastien — léger retard absorbable</t>
  </si>
  <si>
    <t>Tristan DZIOCH, Sebastien GERARD, Killian MARTINS</t>
  </si>
  <si>
    <t>v1.2</t>
  </si>
  <si>
    <t>30/06/2026  13h00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</si>
</sst>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475569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EEF2FF"/>
        <bgColor rgb="FFEEF2FF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/>
    <xf numFmtId="0" fontId="0" fillId="4" borderId="2" xfId="0" applyFill="1" applyBorder="1"/>
    <xf numFmtId="0" fontId="9" fillId="4" borderId="2" xfId="0" applyFont="1" applyFill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wrapText="1"/>
    </xf>
    <xf numFmtId="0" fontId="25" fillId="8" borderId="8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wrapText="1"/>
    </xf>
    <xf numFmtId="0" fontId="25" fillId="8" borderId="8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vertical="center" wrapText="1"/>
    </xf>
    <xf numFmtId="0" fontId="23" fillId="6" borderId="9" xfId="0" applyFont="1" applyFill="1" applyBorder="1" applyAlignment="1">
      <alignment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21" fillId="5" borderId="6" xfId="0" applyFont="1" applyFill="1" applyBorder="1" applyAlignment="1">
      <alignment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vertical="center" wrapText="1"/>
    </xf>
    <xf numFmtId="0" fontId="0" fillId="0" borderId="11" xfId="0" applyBorder="1"/>
    <xf numFmtId="0" fontId="18" fillId="3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/>
    <xf numFmtId="0" fontId="27" fillId="9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2" spans="2:2" ht="88.5" x14ac:dyDescent="1.1000000000000001">
      <c r="B2" s="1" t="s">
        <v>0</v>
      </c>
    </row>
    <row r="4" spans="2:2" ht="18" x14ac:dyDescent="0.25">
      <c r="B4" s="2" t="s">
        <v>1</v>
      </c>
    </row>
    <row r="8" spans="2:2" x14ac:dyDescent="0.25">
      <c r="B8" s="3" t="s">
        <v>2</v>
      </c>
    </row>
    <row r="10" spans="2:2" ht="30" x14ac:dyDescent="0.4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zoomScaleNormal="100" workbookViewId="0">
      <selection activeCell="F16" sqref="F16"/>
    </sheetView>
  </sheetViews>
  <sheetFormatPr baseColWidth="10" defaultColWidth="8.710937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66">
        <v>13</v>
      </c>
    </row>
    <row r="6" spans="2:3" ht="21.75" customHeight="1" x14ac:dyDescent="0.25">
      <c r="B6" s="10" t="s">
        <v>10</v>
      </c>
      <c r="C6" s="11" t="s">
        <v>220</v>
      </c>
    </row>
    <row r="7" spans="2:3" ht="21.75" customHeight="1" x14ac:dyDescent="0.25">
      <c r="B7" s="10" t="s">
        <v>11</v>
      </c>
      <c r="C7" s="11" t="s">
        <v>12</v>
      </c>
    </row>
    <row r="8" spans="2:3" ht="21.75" customHeight="1" x14ac:dyDescent="0.25">
      <c r="B8" s="10" t="s">
        <v>13</v>
      </c>
      <c r="C8" s="11" t="s">
        <v>221</v>
      </c>
    </row>
    <row r="9" spans="2:3" ht="21.75" customHeight="1" x14ac:dyDescent="0.25">
      <c r="B9" s="10" t="s">
        <v>14</v>
      </c>
      <c r="C9" s="11" t="s">
        <v>222</v>
      </c>
    </row>
    <row r="10" spans="2:3" ht="21.75" customHeight="1" x14ac:dyDescent="0.25">
      <c r="B10" s="10" t="s">
        <v>15</v>
      </c>
      <c r="C10" s="11" t="s">
        <v>16</v>
      </c>
    </row>
    <row r="12" spans="2:3" x14ac:dyDescent="0.25">
      <c r="B12" s="12" t="s">
        <v>17</v>
      </c>
    </row>
    <row r="13" spans="2:3" x14ac:dyDescent="0.25">
      <c r="B13" s="7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showGridLines="0" zoomScaleNormal="100" workbookViewId="0">
      <pane ySplit="19" topLeftCell="A25" activePane="bottomLeft" state="frozen"/>
      <selection pane="bottomLeft" activeCell="C30" sqref="C30"/>
    </sheetView>
  </sheetViews>
  <sheetFormatPr baseColWidth="10" defaultColWidth="8.7109375" defaultRowHeight="15" x14ac:dyDescent="0.25"/>
  <cols>
    <col min="1" max="1" width="30" customWidth="1"/>
    <col min="2" max="2" width="36.5703125" customWidth="1"/>
    <col min="3" max="3" width="74" bestFit="1" customWidth="1"/>
    <col min="4" max="4" width="13" customWidth="1"/>
    <col min="5" max="5" width="10" customWidth="1"/>
    <col min="6" max="7" width="11" customWidth="1"/>
  </cols>
  <sheetData>
    <row r="1" spans="1:2" ht="22.5" x14ac:dyDescent="0.3">
      <c r="A1" s="13" t="s">
        <v>19</v>
      </c>
    </row>
    <row r="2" spans="1:2" x14ac:dyDescent="0.25">
      <c r="A2" s="9" t="s">
        <v>20</v>
      </c>
    </row>
    <row r="4" spans="1:2" ht="15.75" x14ac:dyDescent="0.25">
      <c r="A4" s="8" t="s">
        <v>21</v>
      </c>
    </row>
    <row r="5" spans="1:2" ht="21.75" customHeight="1" x14ac:dyDescent="0.25">
      <c r="A5" s="14" t="s">
        <v>22</v>
      </c>
      <c r="B5" s="15" t="s">
        <v>23</v>
      </c>
    </row>
    <row r="6" spans="1:2" ht="21.75" customHeight="1" x14ac:dyDescent="0.25">
      <c r="A6" s="14" t="s">
        <v>24</v>
      </c>
      <c r="B6" s="15" t="s">
        <v>25</v>
      </c>
    </row>
    <row r="7" spans="1:2" ht="21.75" customHeight="1" x14ac:dyDescent="0.25">
      <c r="A7" s="14" t="s">
        <v>26</v>
      </c>
      <c r="B7" s="15" t="s">
        <v>27</v>
      </c>
    </row>
    <row r="8" spans="1:2" ht="21.75" customHeight="1" x14ac:dyDescent="0.25">
      <c r="A8" s="14" t="s">
        <v>28</v>
      </c>
      <c r="B8" s="15" t="s">
        <v>29</v>
      </c>
    </row>
    <row r="9" spans="1:2" ht="21.75" customHeight="1" x14ac:dyDescent="0.25">
      <c r="A9" s="14" t="s">
        <v>30</v>
      </c>
      <c r="B9" s="15" t="s">
        <v>31</v>
      </c>
    </row>
    <row r="10" spans="1:2" ht="21.75" customHeight="1" x14ac:dyDescent="0.25">
      <c r="A10" s="14" t="s">
        <v>32</v>
      </c>
      <c r="B10" s="15" t="s">
        <v>33</v>
      </c>
    </row>
    <row r="11" spans="1:2" ht="21.75" customHeight="1" x14ac:dyDescent="0.25">
      <c r="A11" s="14" t="s">
        <v>34</v>
      </c>
      <c r="B11" s="15" t="s">
        <v>214</v>
      </c>
    </row>
    <row r="12" spans="1:2" ht="21.75" customHeight="1" x14ac:dyDescent="0.25">
      <c r="A12" s="14" t="s">
        <v>35</v>
      </c>
      <c r="B12" s="15" t="s">
        <v>215</v>
      </c>
    </row>
    <row r="14" spans="1:2" x14ac:dyDescent="0.25">
      <c r="A14" s="3" t="s">
        <v>36</v>
      </c>
      <c r="B14" s="9" t="s">
        <v>37</v>
      </c>
    </row>
    <row r="15" spans="1:2" x14ac:dyDescent="0.25">
      <c r="A15" s="3" t="s">
        <v>38</v>
      </c>
      <c r="B15" s="9" t="s">
        <v>39</v>
      </c>
    </row>
    <row r="16" spans="1:2" x14ac:dyDescent="0.25">
      <c r="A16" s="16" t="s">
        <v>40</v>
      </c>
      <c r="B16" s="9" t="s">
        <v>41</v>
      </c>
    </row>
    <row r="17" spans="1:7" x14ac:dyDescent="0.25">
      <c r="A17" s="17" t="s">
        <v>42</v>
      </c>
      <c r="B17" s="9" t="s">
        <v>43</v>
      </c>
    </row>
    <row r="19" spans="1:7" ht="29.25" thickBot="1" x14ac:dyDescent="0.3">
      <c r="A19" s="18" t="s">
        <v>44</v>
      </c>
      <c r="B19" s="18" t="s">
        <v>45</v>
      </c>
      <c r="C19" s="18" t="s">
        <v>46</v>
      </c>
      <c r="D19" s="18" t="s">
        <v>47</v>
      </c>
      <c r="E19" s="18" t="s">
        <v>48</v>
      </c>
      <c r="F19" s="18" t="s">
        <v>49</v>
      </c>
      <c r="G19" s="18" t="s">
        <v>15</v>
      </c>
    </row>
    <row r="20" spans="1:7" ht="15.75" customHeight="1" thickBot="1" x14ac:dyDescent="0.3">
      <c r="A20" s="42" t="s">
        <v>128</v>
      </c>
      <c r="B20" s="43"/>
      <c r="C20" s="43"/>
      <c r="D20" s="43"/>
      <c r="E20" s="43"/>
      <c r="F20" s="43"/>
      <c r="G20" s="44"/>
    </row>
    <row r="21" spans="1:7" ht="15.75" thickBot="1" x14ac:dyDescent="0.3">
      <c r="A21" s="26" t="s">
        <v>50</v>
      </c>
      <c r="B21" s="27" t="s">
        <v>51</v>
      </c>
      <c r="C21" s="28" t="s">
        <v>52</v>
      </c>
      <c r="D21" s="65" t="s">
        <v>207</v>
      </c>
      <c r="E21" s="29">
        <v>1</v>
      </c>
      <c r="F21" s="29">
        <v>1</v>
      </c>
      <c r="G21" s="29" t="s">
        <v>54</v>
      </c>
    </row>
    <row r="22" spans="1:7" ht="15.75" thickBot="1" x14ac:dyDescent="0.3">
      <c r="A22" s="26" t="s">
        <v>50</v>
      </c>
      <c r="B22" s="27" t="s">
        <v>55</v>
      </c>
      <c r="C22" s="28" t="s">
        <v>56</v>
      </c>
      <c r="D22" s="29" t="s">
        <v>209</v>
      </c>
      <c r="E22" s="29">
        <v>2</v>
      </c>
      <c r="F22" s="29">
        <v>2</v>
      </c>
      <c r="G22" s="29" t="s">
        <v>54</v>
      </c>
    </row>
    <row r="23" spans="1:7" ht="15.75" thickBot="1" x14ac:dyDescent="0.3">
      <c r="A23" s="26" t="s">
        <v>50</v>
      </c>
      <c r="B23" s="27" t="s">
        <v>57</v>
      </c>
      <c r="C23" s="28" t="s">
        <v>58</v>
      </c>
      <c r="D23" s="29" t="s">
        <v>210</v>
      </c>
      <c r="E23" s="29">
        <v>3</v>
      </c>
      <c r="F23" s="29">
        <v>3</v>
      </c>
      <c r="G23" s="29" t="s">
        <v>54</v>
      </c>
    </row>
    <row r="24" spans="1:7" ht="15.75" thickBot="1" x14ac:dyDescent="0.3">
      <c r="A24" s="26" t="s">
        <v>50</v>
      </c>
      <c r="B24" s="27" t="s">
        <v>59</v>
      </c>
      <c r="C24" s="28" t="s">
        <v>60</v>
      </c>
      <c r="D24" s="29" t="s">
        <v>208</v>
      </c>
      <c r="E24" s="29">
        <v>1</v>
      </c>
      <c r="F24" s="29">
        <v>1</v>
      </c>
      <c r="G24" s="29" t="s">
        <v>54</v>
      </c>
    </row>
    <row r="25" spans="1:7" ht="15.75" thickBot="1" x14ac:dyDescent="0.3">
      <c r="A25" s="30" t="s">
        <v>129</v>
      </c>
      <c r="B25" s="31" t="s">
        <v>130</v>
      </c>
      <c r="C25" s="32" t="s">
        <v>131</v>
      </c>
      <c r="D25" s="33" t="s">
        <v>209</v>
      </c>
      <c r="E25" s="33">
        <v>1</v>
      </c>
      <c r="F25" s="33">
        <v>1</v>
      </c>
      <c r="G25" s="33" t="s">
        <v>54</v>
      </c>
    </row>
    <row r="26" spans="1:7" ht="15.75" thickBot="1" x14ac:dyDescent="0.3">
      <c r="A26" s="30" t="s">
        <v>129</v>
      </c>
      <c r="B26" s="31" t="s">
        <v>132</v>
      </c>
      <c r="C26" s="32" t="s">
        <v>133</v>
      </c>
      <c r="D26" s="33" t="s">
        <v>213</v>
      </c>
      <c r="E26" s="33">
        <v>1</v>
      </c>
      <c r="F26" s="33">
        <v>1</v>
      </c>
      <c r="G26" s="33" t="s">
        <v>54</v>
      </c>
    </row>
    <row r="27" spans="1:7" ht="15.75" thickBot="1" x14ac:dyDescent="0.3">
      <c r="A27" s="30" t="s">
        <v>129</v>
      </c>
      <c r="B27" s="31" t="s">
        <v>134</v>
      </c>
      <c r="C27" s="32" t="s">
        <v>135</v>
      </c>
      <c r="D27" s="33" t="s">
        <v>213</v>
      </c>
      <c r="E27" s="33">
        <v>2</v>
      </c>
      <c r="F27" s="33">
        <v>2</v>
      </c>
      <c r="G27" s="33" t="s">
        <v>54</v>
      </c>
    </row>
    <row r="28" spans="1:7" ht="15.75" thickBot="1" x14ac:dyDescent="0.3">
      <c r="A28" s="30" t="s">
        <v>129</v>
      </c>
      <c r="B28" s="31" t="s">
        <v>136</v>
      </c>
      <c r="C28" s="32" t="s">
        <v>137</v>
      </c>
      <c r="D28" s="33" t="s">
        <v>208</v>
      </c>
      <c r="E28" s="33">
        <v>1</v>
      </c>
      <c r="F28" s="33">
        <v>1</v>
      </c>
      <c r="G28" s="33" t="s">
        <v>54</v>
      </c>
    </row>
    <row r="29" spans="1:7" ht="15.75" thickBot="1" x14ac:dyDescent="0.3">
      <c r="A29" s="26" t="s">
        <v>61</v>
      </c>
      <c r="B29" s="27" t="s">
        <v>62</v>
      </c>
      <c r="C29" s="28" t="s">
        <v>63</v>
      </c>
      <c r="D29" s="65" t="s">
        <v>207</v>
      </c>
      <c r="E29" s="29">
        <v>1</v>
      </c>
      <c r="F29" s="29">
        <v>1</v>
      </c>
      <c r="G29" s="29" t="s">
        <v>54</v>
      </c>
    </row>
    <row r="30" spans="1:7" ht="15.75" thickBot="1" x14ac:dyDescent="0.3">
      <c r="A30" s="26" t="s">
        <v>61</v>
      </c>
      <c r="B30" s="27" t="s">
        <v>64</v>
      </c>
      <c r="C30" s="28" t="s">
        <v>65</v>
      </c>
      <c r="D30" s="29" t="s">
        <v>211</v>
      </c>
      <c r="E30" s="29">
        <v>3</v>
      </c>
      <c r="F30" s="29">
        <v>3</v>
      </c>
      <c r="G30" s="29" t="s">
        <v>54</v>
      </c>
    </row>
    <row r="31" spans="1:7" ht="15.75" thickBot="1" x14ac:dyDescent="0.3">
      <c r="A31" s="26" t="s">
        <v>61</v>
      </c>
      <c r="B31" s="27" t="s">
        <v>66</v>
      </c>
      <c r="C31" s="28" t="s">
        <v>67</v>
      </c>
      <c r="D31" s="65" t="s">
        <v>207</v>
      </c>
      <c r="E31" s="29">
        <v>1</v>
      </c>
      <c r="F31" s="29">
        <v>1</v>
      </c>
      <c r="G31" s="29" t="s">
        <v>54</v>
      </c>
    </row>
    <row r="32" spans="1:7" ht="15.75" thickBot="1" x14ac:dyDescent="0.3">
      <c r="A32" s="26" t="s">
        <v>61</v>
      </c>
      <c r="B32" s="27" t="s">
        <v>68</v>
      </c>
      <c r="C32" s="28" t="s">
        <v>69</v>
      </c>
      <c r="D32" s="29" t="s">
        <v>212</v>
      </c>
      <c r="E32" s="29">
        <v>3</v>
      </c>
      <c r="F32" s="29">
        <v>3</v>
      </c>
      <c r="G32" s="29" t="s">
        <v>54</v>
      </c>
    </row>
    <row r="33" spans="1:7" ht="15.75" thickBot="1" x14ac:dyDescent="0.3">
      <c r="A33" s="26" t="s">
        <v>61</v>
      </c>
      <c r="B33" s="27" t="s">
        <v>70</v>
      </c>
      <c r="C33" s="28" t="s">
        <v>71</v>
      </c>
      <c r="D33" s="29" t="s">
        <v>208</v>
      </c>
      <c r="E33" s="29">
        <v>1</v>
      </c>
      <c r="F33" s="29">
        <v>1</v>
      </c>
      <c r="G33" s="29" t="s">
        <v>54</v>
      </c>
    </row>
    <row r="34" spans="1:7" ht="15.75" customHeight="1" thickBot="1" x14ac:dyDescent="0.3">
      <c r="A34" s="34"/>
      <c r="B34" s="35" t="s">
        <v>138</v>
      </c>
      <c r="C34" s="36"/>
      <c r="D34" s="36"/>
      <c r="E34" s="37">
        <f>SUM(E21:E33)</f>
        <v>21</v>
      </c>
      <c r="F34" s="37">
        <f>SUM(F21:F33)</f>
        <v>21</v>
      </c>
      <c r="G34" s="36"/>
    </row>
    <row r="35" spans="1:7" ht="15.75" customHeight="1" thickBot="1" x14ac:dyDescent="0.3">
      <c r="A35" s="42" t="s">
        <v>139</v>
      </c>
      <c r="B35" s="43"/>
      <c r="C35" s="43"/>
      <c r="D35" s="43"/>
      <c r="E35" s="43"/>
      <c r="F35" s="43"/>
      <c r="G35" s="44"/>
    </row>
    <row r="36" spans="1:7" ht="26.25" thickBot="1" x14ac:dyDescent="0.3">
      <c r="A36" s="38" t="s">
        <v>140</v>
      </c>
      <c r="B36" s="39" t="s">
        <v>141</v>
      </c>
      <c r="C36" s="40" t="s">
        <v>142</v>
      </c>
      <c r="D36" s="41" t="s">
        <v>53</v>
      </c>
      <c r="E36" s="41">
        <v>2</v>
      </c>
      <c r="F36" s="41">
        <v>2</v>
      </c>
      <c r="G36" s="41" t="s">
        <v>54</v>
      </c>
    </row>
    <row r="37" spans="1:7" ht="15.75" thickBot="1" x14ac:dyDescent="0.3">
      <c r="A37" s="26" t="s">
        <v>140</v>
      </c>
      <c r="B37" s="27" t="s">
        <v>143</v>
      </c>
      <c r="C37" s="28" t="s">
        <v>144</v>
      </c>
      <c r="D37" s="29" t="s">
        <v>53</v>
      </c>
      <c r="E37" s="29">
        <v>3</v>
      </c>
      <c r="F37" s="29">
        <v>3</v>
      </c>
      <c r="G37" s="29" t="s">
        <v>54</v>
      </c>
    </row>
    <row r="38" spans="1:7" ht="15.75" thickBot="1" x14ac:dyDescent="0.3">
      <c r="A38" s="26" t="s">
        <v>140</v>
      </c>
      <c r="B38" s="27" t="s">
        <v>145</v>
      </c>
      <c r="C38" s="28" t="s">
        <v>146</v>
      </c>
      <c r="D38" s="29" t="s">
        <v>53</v>
      </c>
      <c r="E38" s="29">
        <v>3</v>
      </c>
      <c r="F38" s="29">
        <v>3</v>
      </c>
      <c r="G38" s="29" t="s">
        <v>54</v>
      </c>
    </row>
    <row r="39" spans="1:7" ht="15.75" thickBot="1" x14ac:dyDescent="0.3">
      <c r="A39" s="26" t="s">
        <v>140</v>
      </c>
      <c r="B39" s="27" t="s">
        <v>147</v>
      </c>
      <c r="C39" s="28" t="s">
        <v>148</v>
      </c>
      <c r="D39" s="29" t="s">
        <v>53</v>
      </c>
      <c r="E39" s="29">
        <v>2</v>
      </c>
      <c r="F39" s="29">
        <v>2</v>
      </c>
      <c r="G39" s="29" t="s">
        <v>54</v>
      </c>
    </row>
    <row r="40" spans="1:7" ht="15.75" thickBot="1" x14ac:dyDescent="0.3">
      <c r="A40" s="26" t="s">
        <v>140</v>
      </c>
      <c r="B40" s="27" t="s">
        <v>149</v>
      </c>
      <c r="C40" s="28" t="s">
        <v>150</v>
      </c>
      <c r="D40" s="29" t="s">
        <v>53</v>
      </c>
      <c r="E40" s="29">
        <v>3</v>
      </c>
      <c r="F40" s="29">
        <v>3</v>
      </c>
      <c r="G40" s="29" t="s">
        <v>54</v>
      </c>
    </row>
    <row r="41" spans="1:7" ht="15.75" thickBot="1" x14ac:dyDescent="0.3">
      <c r="A41" s="26" t="s">
        <v>140</v>
      </c>
      <c r="B41" s="27" t="s">
        <v>151</v>
      </c>
      <c r="C41" s="28" t="s">
        <v>152</v>
      </c>
      <c r="D41" s="29" t="s">
        <v>53</v>
      </c>
      <c r="E41" s="29">
        <v>2</v>
      </c>
      <c r="F41" s="29">
        <v>2</v>
      </c>
      <c r="G41" s="29" t="s">
        <v>54</v>
      </c>
    </row>
    <row r="42" spans="1:7" ht="26.25" thickBot="1" x14ac:dyDescent="0.3">
      <c r="A42" s="30" t="s">
        <v>190</v>
      </c>
      <c r="B42" s="31" t="s">
        <v>191</v>
      </c>
      <c r="C42" s="32" t="s">
        <v>192</v>
      </c>
      <c r="D42" s="33" t="s">
        <v>53</v>
      </c>
      <c r="E42" s="33">
        <v>2</v>
      </c>
      <c r="F42" s="33">
        <v>2</v>
      </c>
      <c r="G42" s="33" t="s">
        <v>54</v>
      </c>
    </row>
    <row r="43" spans="1:7" ht="15.75" thickBot="1" x14ac:dyDescent="0.3">
      <c r="A43" s="30" t="s">
        <v>190</v>
      </c>
      <c r="B43" s="31" t="s">
        <v>193</v>
      </c>
      <c r="C43" s="32" t="s">
        <v>194</v>
      </c>
      <c r="D43" s="33" t="s">
        <v>53</v>
      </c>
      <c r="E43" s="33">
        <v>3</v>
      </c>
      <c r="F43" s="33">
        <v>3</v>
      </c>
      <c r="G43" s="33" t="s">
        <v>54</v>
      </c>
    </row>
    <row r="44" spans="1:7" ht="15.75" thickBot="1" x14ac:dyDescent="0.3">
      <c r="A44" s="30" t="s">
        <v>190</v>
      </c>
      <c r="B44" s="31" t="s">
        <v>195</v>
      </c>
      <c r="C44" s="32" t="s">
        <v>196</v>
      </c>
      <c r="D44" s="33" t="s">
        <v>53</v>
      </c>
      <c r="E44" s="33">
        <v>1</v>
      </c>
      <c r="F44" s="33">
        <v>1</v>
      </c>
      <c r="G44" s="33" t="s">
        <v>54</v>
      </c>
    </row>
    <row r="45" spans="1:7" ht="15.75" thickBot="1" x14ac:dyDescent="0.3">
      <c r="A45" s="30" t="s">
        <v>190</v>
      </c>
      <c r="B45" s="31" t="s">
        <v>197</v>
      </c>
      <c r="C45" s="32" t="s">
        <v>198</v>
      </c>
      <c r="D45" s="33" t="s">
        <v>53</v>
      </c>
      <c r="E45" s="33">
        <v>1</v>
      </c>
      <c r="F45" s="33">
        <v>1</v>
      </c>
      <c r="G45" s="33" t="s">
        <v>54</v>
      </c>
    </row>
    <row r="46" spans="1:7" ht="15.75" customHeight="1" thickBot="1" x14ac:dyDescent="0.3">
      <c r="A46" s="34"/>
      <c r="B46" s="35" t="s">
        <v>153</v>
      </c>
      <c r="C46" s="36"/>
      <c r="D46" s="36"/>
      <c r="E46" s="37">
        <f>SUM(E36:E45)</f>
        <v>22</v>
      </c>
      <c r="F46" s="37">
        <f>SUM(F36:F45)</f>
        <v>22</v>
      </c>
      <c r="G46" s="36"/>
    </row>
    <row r="47" spans="1:7" ht="15.75" customHeight="1" thickBot="1" x14ac:dyDescent="0.3">
      <c r="A47" s="42" t="s">
        <v>154</v>
      </c>
      <c r="B47" s="43"/>
      <c r="C47" s="43"/>
      <c r="D47" s="43"/>
      <c r="E47" s="43"/>
      <c r="F47" s="43"/>
      <c r="G47" s="44"/>
    </row>
    <row r="48" spans="1:7" ht="15.75" thickBot="1" x14ac:dyDescent="0.3">
      <c r="A48" s="26" t="s">
        <v>155</v>
      </c>
      <c r="B48" s="27" t="s">
        <v>156</v>
      </c>
      <c r="C48" s="28" t="s">
        <v>157</v>
      </c>
      <c r="D48" s="29" t="s">
        <v>53</v>
      </c>
      <c r="E48" s="29">
        <v>1</v>
      </c>
      <c r="F48" s="29">
        <v>1</v>
      </c>
      <c r="G48" s="29" t="s">
        <v>54</v>
      </c>
    </row>
    <row r="49" spans="1:7" ht="15.75" thickBot="1" x14ac:dyDescent="0.3">
      <c r="A49" s="26" t="s">
        <v>155</v>
      </c>
      <c r="B49" s="27" t="s">
        <v>158</v>
      </c>
      <c r="C49" s="28" t="s">
        <v>159</v>
      </c>
      <c r="D49" s="29" t="s">
        <v>53</v>
      </c>
      <c r="E49" s="29">
        <v>2</v>
      </c>
      <c r="F49" s="29">
        <v>2</v>
      </c>
      <c r="G49" s="29" t="s">
        <v>54</v>
      </c>
    </row>
    <row r="50" spans="1:7" ht="15.75" thickBot="1" x14ac:dyDescent="0.3">
      <c r="A50" s="26" t="s">
        <v>155</v>
      </c>
      <c r="B50" s="27" t="s">
        <v>160</v>
      </c>
      <c r="C50" s="28" t="s">
        <v>161</v>
      </c>
      <c r="D50" s="29" t="s">
        <v>53</v>
      </c>
      <c r="E50" s="29">
        <v>3</v>
      </c>
      <c r="F50" s="29">
        <v>3</v>
      </c>
      <c r="G50" s="29" t="s">
        <v>54</v>
      </c>
    </row>
    <row r="51" spans="1:7" ht="15.75" thickBot="1" x14ac:dyDescent="0.3">
      <c r="A51" s="26" t="s">
        <v>155</v>
      </c>
      <c r="B51" s="27" t="s">
        <v>162</v>
      </c>
      <c r="C51" s="28" t="s">
        <v>163</v>
      </c>
      <c r="D51" s="29" t="s">
        <v>53</v>
      </c>
      <c r="E51" s="29">
        <v>1</v>
      </c>
      <c r="F51" s="29">
        <v>1</v>
      </c>
      <c r="G51" s="29" t="s">
        <v>54</v>
      </c>
    </row>
    <row r="52" spans="1:7" ht="15.75" thickBot="1" x14ac:dyDescent="0.3">
      <c r="A52" s="30" t="s">
        <v>164</v>
      </c>
      <c r="B52" s="31" t="s">
        <v>165</v>
      </c>
      <c r="C52" s="32" t="s">
        <v>166</v>
      </c>
      <c r="D52" s="33" t="s">
        <v>53</v>
      </c>
      <c r="E52" s="33">
        <v>2</v>
      </c>
      <c r="F52" s="33">
        <v>2</v>
      </c>
      <c r="G52" s="33" t="s">
        <v>54</v>
      </c>
    </row>
    <row r="53" spans="1:7" ht="15.75" thickBot="1" x14ac:dyDescent="0.3">
      <c r="A53" s="30" t="s">
        <v>164</v>
      </c>
      <c r="B53" s="31" t="s">
        <v>167</v>
      </c>
      <c r="C53" s="32" t="s">
        <v>168</v>
      </c>
      <c r="D53" s="33" t="s">
        <v>53</v>
      </c>
      <c r="E53" s="33">
        <v>3</v>
      </c>
      <c r="F53" s="33">
        <v>3</v>
      </c>
      <c r="G53" s="33" t="s">
        <v>54</v>
      </c>
    </row>
    <row r="54" spans="1:7" ht="15.75" thickBot="1" x14ac:dyDescent="0.3">
      <c r="A54" s="30" t="s">
        <v>164</v>
      </c>
      <c r="B54" s="31" t="s">
        <v>169</v>
      </c>
      <c r="C54" s="32" t="s">
        <v>170</v>
      </c>
      <c r="D54" s="33" t="s">
        <v>53</v>
      </c>
      <c r="E54" s="33">
        <v>1</v>
      </c>
      <c r="F54" s="33">
        <v>1</v>
      </c>
      <c r="G54" s="33" t="s">
        <v>54</v>
      </c>
    </row>
    <row r="55" spans="1:7" ht="15.75" thickBot="1" x14ac:dyDescent="0.3">
      <c r="A55" s="26" t="s">
        <v>171</v>
      </c>
      <c r="B55" s="27" t="s">
        <v>172</v>
      </c>
      <c r="C55" s="28" t="s">
        <v>173</v>
      </c>
      <c r="D55" s="29" t="s">
        <v>53</v>
      </c>
      <c r="E55" s="29">
        <v>2</v>
      </c>
      <c r="F55" s="29">
        <v>2</v>
      </c>
      <c r="G55" s="29" t="s">
        <v>54</v>
      </c>
    </row>
    <row r="56" spans="1:7" ht="15.75" thickBot="1" x14ac:dyDescent="0.3">
      <c r="A56" s="26" t="s">
        <v>171</v>
      </c>
      <c r="B56" s="27" t="s">
        <v>174</v>
      </c>
      <c r="C56" s="28" t="s">
        <v>175</v>
      </c>
      <c r="D56" s="29" t="s">
        <v>53</v>
      </c>
      <c r="E56" s="29">
        <v>2</v>
      </c>
      <c r="F56" s="29">
        <v>2</v>
      </c>
      <c r="G56" s="29" t="s">
        <v>54</v>
      </c>
    </row>
    <row r="57" spans="1:7" ht="15.75" thickBot="1" x14ac:dyDescent="0.3">
      <c r="A57" s="26" t="s">
        <v>171</v>
      </c>
      <c r="B57" s="27" t="s">
        <v>176</v>
      </c>
      <c r="C57" s="28" t="s">
        <v>177</v>
      </c>
      <c r="D57" s="29" t="s">
        <v>53</v>
      </c>
      <c r="E57" s="29">
        <v>3</v>
      </c>
      <c r="F57" s="29">
        <v>3</v>
      </c>
      <c r="G57" s="29" t="s">
        <v>54</v>
      </c>
    </row>
    <row r="58" spans="1:7" ht="15.75" thickBot="1" x14ac:dyDescent="0.3">
      <c r="A58" s="26" t="s">
        <v>171</v>
      </c>
      <c r="B58" s="27" t="s">
        <v>178</v>
      </c>
      <c r="C58" s="28" t="s">
        <v>179</v>
      </c>
      <c r="D58" s="29" t="s">
        <v>53</v>
      </c>
      <c r="E58" s="29">
        <v>1</v>
      </c>
      <c r="F58" s="29">
        <v>1</v>
      </c>
      <c r="G58" s="29" t="s">
        <v>54</v>
      </c>
    </row>
    <row r="59" spans="1:7" ht="15.75" customHeight="1" thickBot="1" x14ac:dyDescent="0.3">
      <c r="A59" s="34"/>
      <c r="B59" s="35" t="s">
        <v>180</v>
      </c>
      <c r="C59" s="36"/>
      <c r="D59" s="36"/>
      <c r="E59" s="37">
        <f>SUM(E48:E58)</f>
        <v>21</v>
      </c>
      <c r="F59" s="37">
        <f>SUM(F48:F58)</f>
        <v>21</v>
      </c>
      <c r="G59" s="36"/>
    </row>
    <row r="60" spans="1:7" ht="15.75" thickBot="1" x14ac:dyDescent="0.3">
      <c r="A60" s="42" t="s">
        <v>181</v>
      </c>
      <c r="B60" s="43"/>
      <c r="C60" s="43"/>
      <c r="D60" s="43"/>
      <c r="E60" s="43"/>
      <c r="F60" s="43"/>
      <c r="G60" s="44"/>
    </row>
    <row r="61" spans="1:7" ht="15.75" thickBot="1" x14ac:dyDescent="0.3">
      <c r="A61" s="26" t="s">
        <v>182</v>
      </c>
      <c r="B61" s="27" t="s">
        <v>183</v>
      </c>
      <c r="C61" s="28" t="s">
        <v>184</v>
      </c>
      <c r="D61" s="29" t="s">
        <v>53</v>
      </c>
      <c r="E61" s="29">
        <v>2</v>
      </c>
      <c r="F61" s="29">
        <v>2</v>
      </c>
      <c r="G61" s="29" t="s">
        <v>54</v>
      </c>
    </row>
    <row r="62" spans="1:7" ht="15.75" thickBot="1" x14ac:dyDescent="0.3">
      <c r="A62" s="26" t="s">
        <v>182</v>
      </c>
      <c r="B62" s="27" t="s">
        <v>185</v>
      </c>
      <c r="C62" s="28" t="s">
        <v>186</v>
      </c>
      <c r="D62" s="29" t="s">
        <v>53</v>
      </c>
      <c r="E62" s="29">
        <v>3</v>
      </c>
      <c r="F62" s="29">
        <v>3</v>
      </c>
      <c r="G62" s="29" t="s">
        <v>54</v>
      </c>
    </row>
    <row r="63" spans="1:7" ht="15.75" thickBot="1" x14ac:dyDescent="0.3">
      <c r="A63" s="26" t="s">
        <v>182</v>
      </c>
      <c r="B63" s="27" t="s">
        <v>187</v>
      </c>
      <c r="C63" s="28" t="s">
        <v>188</v>
      </c>
      <c r="D63" s="29" t="s">
        <v>53</v>
      </c>
      <c r="E63" s="29">
        <v>1</v>
      </c>
      <c r="F63" s="29">
        <v>1</v>
      </c>
      <c r="G63" s="29" t="s">
        <v>54</v>
      </c>
    </row>
    <row r="64" spans="1:7" ht="15.75" thickBot="1" x14ac:dyDescent="0.3">
      <c r="A64" s="34"/>
      <c r="B64" s="35" t="s">
        <v>189</v>
      </c>
      <c r="C64" s="36"/>
      <c r="D64" s="36"/>
      <c r="E64" s="37">
        <f>SUM(E61:E63)</f>
        <v>6</v>
      </c>
      <c r="F64" s="37">
        <f>SUM(F61:F63)</f>
        <v>6</v>
      </c>
      <c r="G64" s="36"/>
    </row>
    <row r="65" spans="1:7" x14ac:dyDescent="0.25">
      <c r="A65" s="19" t="s">
        <v>72</v>
      </c>
      <c r="B65" s="20"/>
      <c r="C65" s="21" t="s">
        <v>73</v>
      </c>
      <c r="D65" s="20"/>
      <c r="E65" s="19">
        <v>16</v>
      </c>
      <c r="F65" s="19">
        <v>16</v>
      </c>
      <c r="G65" s="20"/>
    </row>
    <row r="67" spans="1:7" x14ac:dyDescent="0.25">
      <c r="A67" s="3" t="s">
        <v>74</v>
      </c>
    </row>
    <row r="68" spans="1:7" x14ac:dyDescent="0.25">
      <c r="A68" s="22" t="s">
        <v>54</v>
      </c>
      <c r="B68" s="9" t="s">
        <v>75</v>
      </c>
    </row>
    <row r="69" spans="1:7" x14ac:dyDescent="0.25">
      <c r="A69" s="23" t="s">
        <v>76</v>
      </c>
      <c r="B69" s="9" t="s">
        <v>77</v>
      </c>
    </row>
    <row r="70" spans="1:7" x14ac:dyDescent="0.25">
      <c r="A70" s="17" t="s">
        <v>78</v>
      </c>
      <c r="B70" s="9" t="s">
        <v>79</v>
      </c>
    </row>
    <row r="71" spans="1:7" x14ac:dyDescent="0.25">
      <c r="A71" s="16" t="s">
        <v>80</v>
      </c>
      <c r="B71" s="9" t="s">
        <v>81</v>
      </c>
    </row>
  </sheetData>
  <mergeCells count="4">
    <mergeCell ref="A20:G20"/>
    <mergeCell ref="A35:G35"/>
    <mergeCell ref="A47:G47"/>
    <mergeCell ref="A60:G6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topLeftCell="A3" zoomScale="145" zoomScaleNormal="145" workbookViewId="0">
      <selection activeCell="C11" sqref="C11"/>
    </sheetView>
  </sheetViews>
  <sheetFormatPr baseColWidth="10" defaultColWidth="8.7109375" defaultRowHeight="15" x14ac:dyDescent="0.25"/>
  <cols>
    <col min="1" max="1" width="28" customWidth="1"/>
    <col min="2" max="3" width="22" customWidth="1"/>
    <col min="4" max="4" width="14" customWidth="1"/>
    <col min="5" max="5" width="35" customWidth="1"/>
    <col min="6" max="6" width="12.42578125" customWidth="1"/>
  </cols>
  <sheetData>
    <row r="1" spans="1:6" ht="22.5" x14ac:dyDescent="0.3">
      <c r="A1" s="13" t="s">
        <v>82</v>
      </c>
    </row>
    <row r="2" spans="1:6" x14ac:dyDescent="0.25">
      <c r="A2" s="9" t="s">
        <v>83</v>
      </c>
    </row>
    <row r="4" spans="1:6" x14ac:dyDescent="0.25">
      <c r="A4" s="3" t="s">
        <v>84</v>
      </c>
      <c r="B4" s="9" t="s">
        <v>85</v>
      </c>
    </row>
    <row r="5" spans="1:6" x14ac:dyDescent="0.25">
      <c r="A5" s="3" t="s">
        <v>86</v>
      </c>
      <c r="B5" s="9" t="s">
        <v>87</v>
      </c>
    </row>
    <row r="7" spans="1:6" ht="28.5" x14ac:dyDescent="0.25">
      <c r="A7" s="51" t="s">
        <v>88</v>
      </c>
      <c r="B7" s="51" t="s">
        <v>89</v>
      </c>
      <c r="C7" s="51" t="s">
        <v>90</v>
      </c>
      <c r="D7" s="51" t="s">
        <v>91</v>
      </c>
      <c r="E7" s="51" t="s">
        <v>92</v>
      </c>
      <c r="F7" s="45" t="s">
        <v>199</v>
      </c>
    </row>
    <row r="8" spans="1:6" ht="38.25" x14ac:dyDescent="0.25">
      <c r="A8" s="47" t="s">
        <v>93</v>
      </c>
      <c r="B8" s="48">
        <v>21</v>
      </c>
      <c r="C8" s="48">
        <v>21</v>
      </c>
      <c r="D8" s="48">
        <v>0</v>
      </c>
      <c r="E8" s="49" t="s">
        <v>216</v>
      </c>
      <c r="F8" s="46" t="s">
        <v>200</v>
      </c>
    </row>
    <row r="9" spans="1:6" ht="51" x14ac:dyDescent="0.25">
      <c r="A9" s="47" t="s">
        <v>94</v>
      </c>
      <c r="B9" s="48">
        <f>B8-7</f>
        <v>14</v>
      </c>
      <c r="C9" s="48">
        <v>18</v>
      </c>
      <c r="D9" s="48">
        <f>C9-B9</f>
        <v>4</v>
      </c>
      <c r="E9" s="49" t="s">
        <v>217</v>
      </c>
      <c r="F9" s="46"/>
    </row>
    <row r="10" spans="1:6" ht="51" x14ac:dyDescent="0.25">
      <c r="A10" s="47" t="s">
        <v>95</v>
      </c>
      <c r="B10" s="48">
        <f>B9-7</f>
        <v>7</v>
      </c>
      <c r="C10" s="48">
        <v>10</v>
      </c>
      <c r="D10" s="48">
        <f t="shared" ref="D10:D12" si="0">C10-B10</f>
        <v>3</v>
      </c>
      <c r="E10" s="49" t="s">
        <v>218</v>
      </c>
      <c r="F10" s="46"/>
    </row>
    <row r="11" spans="1:6" ht="38.25" x14ac:dyDescent="0.25">
      <c r="A11" s="47" t="s">
        <v>96</v>
      </c>
      <c r="B11" s="48">
        <v>0</v>
      </c>
      <c r="C11" s="48">
        <v>2</v>
      </c>
      <c r="D11" s="48">
        <f>C11-B11</f>
        <v>2</v>
      </c>
      <c r="E11" s="49" t="s">
        <v>219</v>
      </c>
      <c r="F11" s="46"/>
    </row>
    <row r="12" spans="1:6" ht="15.75" thickBot="1" x14ac:dyDescent="0.3">
      <c r="A12" s="56" t="s">
        <v>97</v>
      </c>
      <c r="B12" s="48">
        <v>0</v>
      </c>
      <c r="C12" s="48">
        <v>0</v>
      </c>
      <c r="D12" s="48">
        <f t="shared" si="0"/>
        <v>0</v>
      </c>
      <c r="E12" s="58" t="s">
        <v>98</v>
      </c>
      <c r="F12" s="59"/>
    </row>
    <row r="13" spans="1:6" x14ac:dyDescent="0.25">
      <c r="A13" s="60" t="s">
        <v>93</v>
      </c>
      <c r="B13" s="61"/>
      <c r="C13" s="61"/>
      <c r="D13" s="61"/>
      <c r="E13" s="62"/>
      <c r="F13" s="63" t="s">
        <v>201</v>
      </c>
    </row>
    <row r="14" spans="1:6" x14ac:dyDescent="0.25">
      <c r="A14" s="47" t="s">
        <v>94</v>
      </c>
      <c r="B14" s="48"/>
      <c r="C14" s="48"/>
      <c r="D14" s="48"/>
      <c r="E14" s="49"/>
      <c r="F14" s="46"/>
    </row>
    <row r="15" spans="1:6" x14ac:dyDescent="0.25">
      <c r="A15" s="47" t="s">
        <v>95</v>
      </c>
      <c r="B15" s="48"/>
      <c r="C15" s="48"/>
      <c r="D15" s="48"/>
      <c r="E15" s="49"/>
      <c r="F15" s="46"/>
    </row>
    <row r="16" spans="1:6" x14ac:dyDescent="0.25">
      <c r="A16" s="47" t="s">
        <v>96</v>
      </c>
      <c r="B16" s="48"/>
      <c r="C16" s="48"/>
      <c r="D16" s="48"/>
      <c r="E16" s="49"/>
      <c r="F16" s="46"/>
    </row>
    <row r="17" spans="1:6" ht="15.75" thickBot="1" x14ac:dyDescent="0.3">
      <c r="A17" s="56" t="s">
        <v>97</v>
      </c>
      <c r="B17" s="57"/>
      <c r="C17" s="57"/>
      <c r="D17" s="57"/>
      <c r="E17" s="58"/>
      <c r="F17" s="59"/>
    </row>
    <row r="18" spans="1:6" x14ac:dyDescent="0.25">
      <c r="A18" s="52" t="s">
        <v>93</v>
      </c>
      <c r="B18" s="53"/>
      <c r="C18" s="53"/>
      <c r="D18" s="53"/>
      <c r="E18" s="54"/>
      <c r="F18" s="55" t="s">
        <v>202</v>
      </c>
    </row>
    <row r="19" spans="1:6" x14ac:dyDescent="0.25">
      <c r="A19" s="47" t="s">
        <v>94</v>
      </c>
      <c r="B19" s="48"/>
      <c r="C19" s="48"/>
      <c r="D19" s="48"/>
      <c r="E19" s="49"/>
      <c r="F19" s="46"/>
    </row>
    <row r="20" spans="1:6" x14ac:dyDescent="0.25">
      <c r="A20" s="47" t="s">
        <v>95</v>
      </c>
      <c r="B20" s="48"/>
      <c r="C20" s="48"/>
      <c r="D20" s="48"/>
      <c r="E20" s="49"/>
      <c r="F20" s="46"/>
    </row>
    <row r="21" spans="1:6" x14ac:dyDescent="0.25">
      <c r="A21" s="47" t="s">
        <v>96</v>
      </c>
      <c r="B21" s="48"/>
      <c r="C21" s="48"/>
      <c r="D21" s="48"/>
      <c r="E21" s="49"/>
      <c r="F21" s="46"/>
    </row>
    <row r="22" spans="1:6" ht="15.75" thickBot="1" x14ac:dyDescent="0.3">
      <c r="A22" s="56" t="s">
        <v>97</v>
      </c>
      <c r="B22" s="57"/>
      <c r="C22" s="57"/>
      <c r="D22" s="57"/>
      <c r="E22" s="58"/>
      <c r="F22" s="59"/>
    </row>
    <row r="23" spans="1:6" x14ac:dyDescent="0.25">
      <c r="A23" s="52" t="s">
        <v>93</v>
      </c>
      <c r="B23" s="53"/>
      <c r="C23" s="53"/>
      <c r="D23" s="53"/>
      <c r="E23" s="54"/>
      <c r="F23" s="55" t="s">
        <v>203</v>
      </c>
    </row>
    <row r="24" spans="1:6" x14ac:dyDescent="0.25">
      <c r="A24" s="47" t="s">
        <v>94</v>
      </c>
      <c r="B24" s="48"/>
      <c r="C24" s="48"/>
      <c r="D24" s="48"/>
      <c r="E24" s="49"/>
      <c r="F24" s="46"/>
    </row>
    <row r="25" spans="1:6" x14ac:dyDescent="0.25">
      <c r="A25" s="47" t="s">
        <v>95</v>
      </c>
      <c r="B25" s="48"/>
      <c r="C25" s="48"/>
      <c r="D25" s="48"/>
      <c r="E25" s="49"/>
      <c r="F25" s="46"/>
    </row>
    <row r="26" spans="1:6" x14ac:dyDescent="0.25">
      <c r="A26" s="47" t="s">
        <v>96</v>
      </c>
      <c r="B26" s="48"/>
      <c r="C26" s="48"/>
      <c r="D26" s="48"/>
      <c r="E26" s="49"/>
      <c r="F26" s="46"/>
    </row>
    <row r="27" spans="1:6" ht="15.75" thickBot="1" x14ac:dyDescent="0.3">
      <c r="A27" s="56" t="s">
        <v>97</v>
      </c>
      <c r="B27" s="57"/>
      <c r="C27" s="57"/>
      <c r="D27" s="57"/>
      <c r="E27" s="58"/>
      <c r="F27" s="59"/>
    </row>
    <row r="28" spans="1:6" x14ac:dyDescent="0.25">
      <c r="A28" s="52" t="s">
        <v>93</v>
      </c>
      <c r="B28" s="53"/>
      <c r="C28" s="53"/>
      <c r="D28" s="53"/>
      <c r="E28" s="54"/>
      <c r="F28" s="55" t="s">
        <v>204</v>
      </c>
    </row>
    <row r="29" spans="1:6" x14ac:dyDescent="0.25">
      <c r="A29" s="47" t="s">
        <v>94</v>
      </c>
      <c r="B29" s="48"/>
      <c r="C29" s="48"/>
      <c r="D29" s="48"/>
      <c r="E29" s="49"/>
      <c r="F29" s="46"/>
    </row>
    <row r="30" spans="1:6" x14ac:dyDescent="0.25">
      <c r="A30" s="47" t="s">
        <v>95</v>
      </c>
      <c r="B30" s="48"/>
      <c r="C30" s="48"/>
      <c r="D30" s="48"/>
      <c r="E30" s="49"/>
      <c r="F30" s="46"/>
    </row>
    <row r="31" spans="1:6" x14ac:dyDescent="0.25">
      <c r="A31" s="47" t="s">
        <v>96</v>
      </c>
      <c r="B31" s="48"/>
      <c r="C31" s="48"/>
      <c r="D31" s="48"/>
      <c r="E31" s="49"/>
      <c r="F31" s="46"/>
    </row>
    <row r="32" spans="1:6" ht="15.75" thickBot="1" x14ac:dyDescent="0.3">
      <c r="A32" s="56" t="s">
        <v>97</v>
      </c>
      <c r="B32" s="57"/>
      <c r="C32" s="57"/>
      <c r="D32" s="57"/>
      <c r="E32" s="58"/>
      <c r="F32" s="59"/>
    </row>
    <row r="33" spans="1:6" x14ac:dyDescent="0.25">
      <c r="A33" s="52" t="s">
        <v>93</v>
      </c>
      <c r="B33" s="53"/>
      <c r="C33" s="53"/>
      <c r="D33" s="53"/>
      <c r="E33" s="54"/>
      <c r="F33" s="55" t="s">
        <v>205</v>
      </c>
    </row>
    <row r="34" spans="1:6" x14ac:dyDescent="0.25">
      <c r="A34" s="47" t="s">
        <v>94</v>
      </c>
      <c r="B34" s="48"/>
      <c r="C34" s="48"/>
      <c r="D34" s="48"/>
      <c r="E34" s="49"/>
      <c r="F34" s="46"/>
    </row>
    <row r="35" spans="1:6" x14ac:dyDescent="0.25">
      <c r="A35" s="47" t="s">
        <v>95</v>
      </c>
      <c r="B35" s="48"/>
      <c r="C35" s="48"/>
      <c r="D35" s="48"/>
      <c r="E35" s="49"/>
      <c r="F35" s="46"/>
    </row>
    <row r="36" spans="1:6" x14ac:dyDescent="0.25">
      <c r="A36" s="47" t="s">
        <v>96</v>
      </c>
      <c r="B36" s="48"/>
      <c r="C36" s="48"/>
      <c r="D36" s="48"/>
      <c r="E36" s="49"/>
      <c r="F36" s="46"/>
    </row>
    <row r="37" spans="1:6" ht="15.75" thickBot="1" x14ac:dyDescent="0.3">
      <c r="A37" s="56" t="s">
        <v>97</v>
      </c>
      <c r="B37" s="57"/>
      <c r="C37" s="57"/>
      <c r="D37" s="57"/>
      <c r="E37" s="58"/>
      <c r="F37" s="59"/>
    </row>
    <row r="38" spans="1:6" x14ac:dyDescent="0.25">
      <c r="A38" s="52" t="s">
        <v>93</v>
      </c>
      <c r="B38" s="53"/>
      <c r="C38" s="53"/>
      <c r="D38" s="53"/>
      <c r="E38" s="54"/>
      <c r="F38" s="55" t="s">
        <v>206</v>
      </c>
    </row>
    <row r="39" spans="1:6" x14ac:dyDescent="0.25">
      <c r="A39" s="47" t="s">
        <v>94</v>
      </c>
      <c r="B39" s="48"/>
      <c r="C39" s="48"/>
      <c r="D39" s="48"/>
      <c r="E39" s="49"/>
      <c r="F39" s="46"/>
    </row>
    <row r="40" spans="1:6" x14ac:dyDescent="0.25">
      <c r="A40" s="47" t="s">
        <v>95</v>
      </c>
      <c r="B40" s="48"/>
      <c r="C40" s="48"/>
      <c r="D40" s="48"/>
      <c r="E40" s="49"/>
      <c r="F40" s="46"/>
    </row>
    <row r="41" spans="1:6" x14ac:dyDescent="0.25">
      <c r="A41" s="47" t="s">
        <v>96</v>
      </c>
      <c r="B41" s="50"/>
      <c r="C41" s="50"/>
      <c r="D41" s="50"/>
      <c r="E41" s="50"/>
      <c r="F41" s="46"/>
    </row>
    <row r="42" spans="1:6" ht="15.75" thickBot="1" x14ac:dyDescent="0.3">
      <c r="A42" s="56" t="s">
        <v>97</v>
      </c>
      <c r="B42" s="64"/>
      <c r="C42" s="64"/>
      <c r="D42" s="64"/>
      <c r="E42" s="64"/>
      <c r="F42" s="59"/>
    </row>
    <row r="44" spans="1:6" x14ac:dyDescent="0.25">
      <c r="A44" s="3" t="s">
        <v>99</v>
      </c>
      <c r="B44" s="7" t="s">
        <v>100</v>
      </c>
    </row>
    <row r="46" spans="1:6" x14ac:dyDescent="0.25">
      <c r="A46" s="3" t="s">
        <v>101</v>
      </c>
    </row>
    <row r="47" spans="1:6" x14ac:dyDescent="0.25">
      <c r="A47" s="16" t="s">
        <v>102</v>
      </c>
      <c r="B47" s="9" t="s">
        <v>103</v>
      </c>
    </row>
    <row r="48" spans="1:6" x14ac:dyDescent="0.25">
      <c r="A48" s="23" t="s">
        <v>104</v>
      </c>
      <c r="B48" s="9" t="s">
        <v>105</v>
      </c>
    </row>
    <row r="49" spans="1:2" x14ac:dyDescent="0.25">
      <c r="A49" s="16" t="s">
        <v>106</v>
      </c>
      <c r="B49" s="9" t="s">
        <v>107</v>
      </c>
    </row>
    <row r="50" spans="1:2" x14ac:dyDescent="0.25">
      <c r="A50" s="17" t="s">
        <v>108</v>
      </c>
      <c r="B50" s="9" t="s">
        <v>109</v>
      </c>
    </row>
  </sheetData>
  <mergeCells count="7">
    <mergeCell ref="F38:F42"/>
    <mergeCell ref="F8:F12"/>
    <mergeCell ref="F13:F17"/>
    <mergeCell ref="F18:F22"/>
    <mergeCell ref="F23:F27"/>
    <mergeCell ref="F28:F32"/>
    <mergeCell ref="F33:F37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7109375" defaultRowHeight="15" x14ac:dyDescent="0.25"/>
  <cols>
    <col min="1" max="1" width="7.28515625" customWidth="1"/>
    <col min="2" max="2" width="84.28515625" customWidth="1"/>
    <col min="3" max="3" width="40.7109375" customWidth="1"/>
    <col min="4" max="4" width="41.85546875" customWidth="1"/>
  </cols>
  <sheetData>
    <row r="2" spans="1:4" ht="18" x14ac:dyDescent="0.25">
      <c r="B2" s="2" t="s">
        <v>110</v>
      </c>
    </row>
    <row r="3" spans="1:4" x14ac:dyDescent="0.25">
      <c r="B3" s="9" t="s">
        <v>111</v>
      </c>
    </row>
    <row r="5" spans="1:4" x14ac:dyDescent="0.25">
      <c r="A5" s="18"/>
      <c r="B5" s="18" t="s">
        <v>112</v>
      </c>
      <c r="C5" s="18" t="s">
        <v>113</v>
      </c>
      <c r="D5" t="s">
        <v>114</v>
      </c>
    </row>
    <row r="6" spans="1:4" ht="30" x14ac:dyDescent="0.25">
      <c r="B6" s="24" t="s">
        <v>115</v>
      </c>
      <c r="C6" s="25" t="s">
        <v>116</v>
      </c>
      <c r="D6" s="24" t="s">
        <v>117</v>
      </c>
    </row>
    <row r="7" spans="1:4" x14ac:dyDescent="0.25">
      <c r="B7" s="24" t="s">
        <v>118</v>
      </c>
      <c r="C7" s="25" t="s">
        <v>116</v>
      </c>
      <c r="D7" s="24" t="s">
        <v>117</v>
      </c>
    </row>
    <row r="8" spans="1:4" x14ac:dyDescent="0.25">
      <c r="B8" s="24" t="s">
        <v>119</v>
      </c>
      <c r="C8" s="25" t="s">
        <v>116</v>
      </c>
      <c r="D8" s="24" t="s">
        <v>117</v>
      </c>
    </row>
    <row r="9" spans="1:4" x14ac:dyDescent="0.25">
      <c r="B9" s="24" t="s">
        <v>120</v>
      </c>
      <c r="C9" s="25" t="s">
        <v>116</v>
      </c>
      <c r="D9" s="24" t="s">
        <v>117</v>
      </c>
    </row>
    <row r="10" spans="1:4" x14ac:dyDescent="0.25">
      <c r="B10" s="24" t="s">
        <v>121</v>
      </c>
      <c r="C10" s="25" t="s">
        <v>116</v>
      </c>
      <c r="D10" s="24" t="s">
        <v>117</v>
      </c>
    </row>
    <row r="11" spans="1:4" x14ac:dyDescent="0.25">
      <c r="B11" s="24" t="s">
        <v>122</v>
      </c>
      <c r="C11" s="25" t="s">
        <v>116</v>
      </c>
      <c r="D11" s="24" t="s">
        <v>117</v>
      </c>
    </row>
    <row r="12" spans="1:4" x14ac:dyDescent="0.25">
      <c r="B12" s="24" t="s">
        <v>123</v>
      </c>
      <c r="C12" s="25" t="s">
        <v>116</v>
      </c>
      <c r="D12" s="24" t="s">
        <v>117</v>
      </c>
    </row>
    <row r="13" spans="1:4" x14ac:dyDescent="0.25">
      <c r="B13" s="24" t="s">
        <v>124</v>
      </c>
      <c r="C13" s="25" t="s">
        <v>116</v>
      </c>
      <c r="D13" s="24" t="s">
        <v>117</v>
      </c>
    </row>
    <row r="14" spans="1:4" x14ac:dyDescent="0.25">
      <c r="B14" s="24" t="s">
        <v>125</v>
      </c>
      <c r="C14" s="25" t="s">
        <v>116</v>
      </c>
      <c r="D14" s="24" t="s">
        <v>117</v>
      </c>
    </row>
    <row r="15" spans="1:4" x14ac:dyDescent="0.25">
      <c r="B15" s="24" t="s">
        <v>126</v>
      </c>
      <c r="C15" s="25" t="s">
        <v>127</v>
      </c>
      <c r="D15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Flowgine</cp:lastModifiedBy>
  <cp:revision>0</cp:revision>
  <dcterms:created xsi:type="dcterms:W3CDTF">2026-06-25T22:39:08Z</dcterms:created>
  <dcterms:modified xsi:type="dcterms:W3CDTF">2026-06-30T11:03:10Z</dcterms:modified>
  <dc:language>en-US</dc:language>
</cp:coreProperties>
</file>