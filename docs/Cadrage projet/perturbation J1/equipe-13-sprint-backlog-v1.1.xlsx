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r\Downloads\"/>
    </mc:Choice>
  </mc:AlternateContent>
  <xr:revisionPtr revIDLastSave="0" documentId="13_ncr:1_{BB002938-5809-4DFD-83FE-EE353F2252CE}" xr6:coauthVersionLast="47" xr6:coauthVersionMax="47" xr10:uidLastSave="{00000000-0000-0000-0000-000000000000}"/>
  <bookViews>
    <workbookView xWindow="35880" yWindow="-4815" windowWidth="57840" windowHeight="31920" tabRatio="500" activeTab="2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4" i="3" l="1"/>
  <c r="E64" i="3"/>
  <c r="F59" i="3"/>
  <c r="E59" i="3"/>
  <c r="F46" i="3"/>
  <c r="E46" i="3"/>
  <c r="F34" i="3"/>
  <c r="E34" i="3"/>
</calcChain>
</file>

<file path=xl/sharedStrings.xml><?xml version="1.0" encoding="utf-8"?>
<sst xmlns="http://schemas.openxmlformats.org/spreadsheetml/2006/main" count="332" uniqueCount="209">
  <si>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</si>
  <si>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</si>
  <si>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</si>
  <si>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</si>
  <si>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</si>
  <si>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</si>
  <si>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</si>
  <si>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</si>
  <si>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</si>
  <si>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</si>
  <si>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</si>
  <si>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</si>
  <si>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</si>
  <si>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</si>
  <si>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Cadrage</t>
  </si>
  <si>
    <t>Version</t>
  </si>
  <si>
    <t>v1.0</t>
  </si>
  <si>
    <t>Date de remise</t>
  </si>
  <si>
    <t>29/06/2026  12h30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</si>
  <si>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</si>
  <si>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</si>
  <si>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</si>
  <si>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</si>
  <si>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</si>
  <si>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</si>
  <si>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</si>
  <si>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</si>
  <si>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</si>
  <si>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</si>
  <si>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29/06/2026, 14h00 à 18h00 (4 h/personne)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</si>
  <si>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</si>
  <si>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</si>
  <si>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</si>
  <si>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</si>
  <si>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</si>
  <si>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</si>
  <si>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</si>
  <si>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</si>
  <si>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</si>
  <si>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[ Prénom NOM ]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</si>
  <si>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</si>
  <si>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</si>
  <si>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</si>
  <si>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</si>
  <si>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</si>
  <si>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</si>
  <si>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</si>
  <si>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</si>
  <si>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</si>
  <si>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</si>
  <si>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</si>
  <si>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</si>
  <si>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</si>
  <si>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</si>
  <si>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</si>
  <si>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</si>
  <si>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</si>
  <si>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</si>
  <si>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[ Prénom ]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</si>
  <si>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</si>
  <si>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</si>
  <si>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</si>
  <si>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</si>
  <si>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</si>
  <si>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</si>
  <si>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</si>
  <si>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</si>
  <si>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</si>
  <si>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</si>
  <si>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</si>
  <si>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</si>
  <si>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</si>
  <si>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</si>
  <si>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</si>
  <si>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</si>
  <si>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</si>
  <si>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</si>
  <si>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</si>
  <si>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</si>
  <si>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</si>
  <si>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</si>
  <si>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</si>
  <si>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</si>
  <si>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</si>
  <si>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</si>
  <si>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</si>
  <si>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</si>
  <si>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</si>
  <si>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</si>
  <si>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</si>
  <si>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</si>
  <si>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</si>
  <si>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</si>
  <si>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</si>
  <si>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</si>
  <si>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</si>
  <si>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</si>
  <si>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</si>
  <si>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</si>
  <si>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[à compléter]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</si>
  <si>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</si>
  <si>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</si>
  <si>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</si>
  <si>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</si>
  <si>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</si>
  <si>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</si>
  <si>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</si>
  <si>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</si>
  <si>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</si>
  <si>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</si>
  <si>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</si>
  <si>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</si>
  <si>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</si>
  <si>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</si>
  <si>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</si>
  <si>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</si>
  <si>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</si>
  <si>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</si>
  <si>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</si>
  <si>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</si>
  <si>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</si>
  <si>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</si>
  <si>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</si>
  <si>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</si>
  <si>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</si>
  <si>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</si>
  <si>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</si>
  <si>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Conforme — complété pour EduTutor IA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</si>
  <si>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</si>
  <si>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</si>
  <si>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</si>
  <si>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</si>
  <si>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</si>
  <si>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</si>
  <si>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</si>
  <si>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</si>
  <si>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</si>
  <si>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☐ Oui   ☐ Partiel   ☐ Non</t>
  </si>
  <si>
    <t>SPRINT 1 (S1) — Identification &amp; upload · US-01, US-21, US-02</t>
  </si>
  <si>
    <t>US-21</t>
  </si>
  <si>
    <t>T-21.1</t>
  </si>
  <si>
    <t>Ajout champ « role » (étudiant/enseignant) au modèle User + migration</t>
  </si>
  <si>
    <t>T-21.2</t>
  </si>
  <si>
    <t>Endpoint /api/signup gère role=enseignant + redirect /quiz/create</t>
  </si>
  <si>
    <t>T-21.3</t>
  </si>
  <si>
    <t>Page React /signup : sélecteur de rôle + parcours enseignant</t>
  </si>
  <si>
    <t>T-21.4</t>
  </si>
  <si>
    <t>Tests pytest + Vitest (création compte enseignant)</t>
  </si>
  <si>
    <t>Sous-total Sprint 1 (S1)</t>
  </si>
  <si>
    <t>SPRINT 2 (S2) — Génération de quiz · US-03</t>
  </si>
  <si>
    <t>US-03</t>
  </si>
  <si>
    <t>T-03.1</t>
  </si>
  <si>
    <t>Modèles Quiz + Question Django (course FK, type, énoncé, propositions, bonne réponse) + migration</t>
  </si>
  <si>
    <t>T-03.2</t>
  </si>
  <si>
    <t>Service LLM local (Llama 3.1 8B via Ollama) + prompt de génération QCM</t>
  </si>
  <si>
    <t>T-03.3</t>
  </si>
  <si>
    <t>Endpoint POST /api/quizzes/generate (10 QCM, parsing JSON, timeout &lt; 60 s)</t>
  </si>
  <si>
    <t>T-03.4</t>
  </si>
  <si>
    <t>Gestion erreurs/retry LLM + validation format (10 questions × 4 propositions)</t>
  </si>
  <si>
    <t>T-03.5</t>
  </si>
  <si>
    <t>Page React /quiz : bouton « Générer un quiz » + état de chargement + affichage</t>
  </si>
  <si>
    <t>T-03.6</t>
  </si>
  <si>
    <t>Tests pytest (mock LLM) + Vitest + contrôle perf &lt; 60 s</t>
  </si>
  <si>
    <t>Sous-total Sprint 2 (S2)</t>
  </si>
  <si>
    <t>SPRINT 3 (S3) — Passage, correction &amp; types de questions · US-04, US-05, US-24</t>
  </si>
  <si>
    <t>US-04</t>
  </si>
  <si>
    <t>T-04.1</t>
  </si>
  <si>
    <t>Modèles Attempt + Answer Django (quiz FK, user FK, réponses, statut) + migration</t>
  </si>
  <si>
    <t>T-04.2</t>
  </si>
  <si>
    <t>Endpoint POST /api/quizzes/{id}/submit (comparaison réponses, statut bon/mauvais)</t>
  </si>
  <si>
    <t>T-04.3</t>
  </si>
  <si>
    <t>Page React /quiz : formulaire des 10 réponses + soumission</t>
  </si>
  <si>
    <t>T-04.4</t>
  </si>
  <si>
    <t>Tests pytest correction + Vitest soumission</t>
  </si>
  <si>
    <t>US-05</t>
  </si>
  <si>
    <t>T-05.1</t>
  </si>
  <si>
    <t>Calcul score /10 + endpoint GET /api/attempts/{id} (détail des réponses)</t>
  </si>
  <si>
    <t>T-05.2</t>
  </si>
  <si>
    <t>Page React /resultat : score /10 + 10 questions avec correction détaillée</t>
  </si>
  <si>
    <t>T-05.3</t>
  </si>
  <si>
    <t>Tests pytest score + Vitest affichage résultat</t>
  </si>
  <si>
    <t>US-24</t>
  </si>
  <si>
    <t>T-24.1</t>
  </si>
  <si>
    <t>Étendre Question : type (QCM / Vrai-Faux / réponse courte) + correction par type</t>
  </si>
  <si>
    <t>T-24.2</t>
  </si>
  <si>
    <t>Endpoint /quiz/create : sélection du type par question + validation mixte</t>
  </si>
  <si>
    <t>T-24.3</t>
  </si>
  <si>
    <t>Page React /quiz/create : UI choix du type + champs dynamiques selon type</t>
  </si>
  <si>
    <t>T-24.4</t>
  </si>
  <si>
    <t>Tests pytest correction par type + Vitest UI</t>
  </si>
  <si>
    <t>Sous-total Sprint 3 (S3)</t>
  </si>
  <si>
    <t>SPRINT 4 (S4) — Historique · US-06</t>
  </si>
  <si>
    <t>US-06</t>
  </si>
  <si>
    <t>T-06.1</t>
  </si>
  <si>
    <t>Endpoint GET /api/history (quizz triés par date desc) + sérialiseur</t>
  </si>
  <si>
    <t>T-06.2</t>
  </si>
  <si>
    <t>Page React /historique : liste (titre/date/score) + bouton « Refaire »</t>
  </si>
  <si>
    <t>T-06.3</t>
  </si>
  <si>
    <t>Tests pytest endpoint + Vitest liste</t>
  </si>
  <si>
    <t>Sous-total Sprint 4 (S4)</t>
  </si>
  <si>
    <t>US-22</t>
  </si>
  <si>
    <t>T-22.1</t>
  </si>
  <si>
    <t>Endpoint POST /api/quizzes (création manuelle : titre + questions + bonnes réponses) + validation</t>
  </si>
  <si>
    <t>T-22.2</t>
  </si>
  <si>
    <t>Page React /quiz/create : ajout/édition de questions QCM + champ bonne réponse + aperçu</t>
  </si>
  <si>
    <t>T-22.3</t>
  </si>
  <si>
    <t>Publication du quiz → enregistré, visible dans /library, distribuable à la classe</t>
  </si>
  <si>
    <t>T-22.4</t>
  </si>
  <si>
    <t>Tests pytest endpoint création + Vitest UI /quiz/create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</si>
</sst>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b/>
      <sz val="10"/>
      <color rgb="FF475569"/>
      <name val="Cambria"/>
      <charset val="1"/>
    </font>
    <font>
      <b/>
      <sz val="10"/>
      <color rgb="FFB45309"/>
      <name val="Cambria"/>
      <charset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EF2FF"/>
      </patternFill>
    </fill>
    <fill>
      <patternFill patternType="solid">
        <fgColor rgb="FF3C4A6B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BF6E4"/>
        <bgColor indexed="64"/>
      </patternFill>
    </fill>
    <fill>
      <patternFill patternType="solid">
        <fgColor rgb="FFE2E2E2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/>
    <xf numFmtId="0" fontId="0" fillId="4" borderId="2" xfId="0" applyFill="1" applyBorder="1"/>
    <xf numFmtId="0" fontId="9" fillId="4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6" borderId="7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vertical="center" wrapText="1"/>
    </xf>
    <xf numFmtId="0" fontId="23" fillId="6" borderId="8" xfId="0" applyFont="1" applyFill="1" applyBorder="1" applyAlignment="1">
      <alignment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vertical="center" wrapText="1"/>
    </xf>
    <xf numFmtId="0" fontId="21" fillId="5" borderId="6" xfId="0" applyFont="1" applyFill="1" applyBorder="1" applyAlignment="1">
      <alignment vertical="center" wrapText="1"/>
    </xf>
    <xf numFmtId="0" fontId="24" fillId="8" borderId="7" xfId="0" applyFont="1" applyFill="1" applyBorder="1" applyAlignment="1">
      <alignment wrapText="1"/>
    </xf>
    <xf numFmtId="0" fontId="25" fillId="8" borderId="8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wrapText="1"/>
    </xf>
    <xf numFmtId="0" fontId="25" fillId="8" borderId="8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vertical="center" wrapText="1"/>
    </xf>
    <xf numFmtId="0" fontId="23" fillId="6" borderId="9" xfId="0" applyFont="1" applyFill="1" applyBorder="1" applyAlignment="1">
      <alignment vertical="center" wrapText="1"/>
    </xf>
    <xf numFmtId="0" fontId="23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90" customWidth="1"/>
  </cols>
  <sheetData>
    <row r="2" spans="2:2" ht="88.5" x14ac:dyDescent="1.1000000000000001">
      <c r="B2" s="1" t="s">
        <v>0</v>
      </c>
    </row>
    <row r="4" spans="2:2" ht="18" x14ac:dyDescent="0.25">
      <c r="B4" s="2" t="s">
        <v>1</v>
      </c>
    </row>
    <row r="8" spans="2:2" x14ac:dyDescent="0.25">
      <c r="B8" s="3" t="s">
        <v>2</v>
      </c>
    </row>
    <row r="10" spans="2:2" ht="30" x14ac:dyDescent="0.4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75" customHeight="1" x14ac:dyDescent="0.25">
      <c r="B5" s="10" t="s">
        <v>9</v>
      </c>
      <c r="C5" s="11" t="s">
        <v>10</v>
      </c>
    </row>
    <row r="6" spans="2:3" ht="21.75" customHeight="1" x14ac:dyDescent="0.25">
      <c r="B6" s="10" t="s">
        <v>11</v>
      </c>
      <c r="C6" s="11" t="s">
        <v>12</v>
      </c>
    </row>
    <row r="7" spans="2:3" ht="21.75" customHeight="1" x14ac:dyDescent="0.25">
      <c r="B7" s="10" t="s">
        <v>13</v>
      </c>
      <c r="C7" s="11" t="s">
        <v>14</v>
      </c>
    </row>
    <row r="8" spans="2:3" ht="21.75" customHeight="1" x14ac:dyDescent="0.25">
      <c r="B8" s="10" t="s">
        <v>15</v>
      </c>
      <c r="C8" s="11" t="s">
        <v>16</v>
      </c>
    </row>
    <row r="9" spans="2:3" ht="21.75" customHeight="1" x14ac:dyDescent="0.25">
      <c r="B9" s="10" t="s">
        <v>17</v>
      </c>
      <c r="C9" s="11" t="s">
        <v>18</v>
      </c>
    </row>
    <row r="10" spans="2:3" ht="21.75" customHeight="1" x14ac:dyDescent="0.25">
      <c r="B10" s="10" t="s">
        <v>19</v>
      </c>
      <c r="C10" s="11" t="s">
        <v>20</v>
      </c>
    </row>
    <row r="12" spans="2:3" x14ac:dyDescent="0.25">
      <c r="B12" s="12" t="s">
        <v>21</v>
      </c>
    </row>
    <row r="13" spans="2:3" x14ac:dyDescent="0.25">
      <c r="B13" s="7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showGridLines="0" tabSelected="1" zoomScaleNormal="100" workbookViewId="0">
      <pane ySplit="19" topLeftCell="A20" activePane="bottomLeft" state="frozen"/>
      <selection pane="bottomLeft" activeCell="A61" sqref="A61:XFD63"/>
    </sheetView>
  </sheetViews>
  <sheetFormatPr baseColWidth="10" defaultColWidth="8.7109375" defaultRowHeight="15" x14ac:dyDescent="0.25"/>
  <cols>
    <col min="1" max="1" width="30" customWidth="1"/>
    <col min="2" max="2" width="36.5703125" customWidth="1"/>
    <col min="3" max="3" width="74" bestFit="1" customWidth="1"/>
    <col min="4" max="4" width="13" customWidth="1"/>
    <col min="5" max="5" width="10" customWidth="1"/>
    <col min="6" max="7" width="11" customWidth="1"/>
  </cols>
  <sheetData>
    <row r="1" spans="1:2" ht="22.5" x14ac:dyDescent="0.3">
      <c r="A1" s="13" t="s">
        <v>23</v>
      </c>
    </row>
    <row r="2" spans="1:2" x14ac:dyDescent="0.25">
      <c r="A2" s="9" t="s">
        <v>24</v>
      </c>
    </row>
    <row r="4" spans="1:2" ht="15.75" x14ac:dyDescent="0.25">
      <c r="A4" s="8" t="s">
        <v>25</v>
      </c>
    </row>
    <row r="5" spans="1:2" ht="21.75" customHeight="1" x14ac:dyDescent="0.25">
      <c r="A5" s="14" t="s">
        <v>26</v>
      </c>
      <c r="B5" s="15" t="s">
        <v>27</v>
      </c>
    </row>
    <row r="6" spans="1:2" ht="21.75" customHeight="1" x14ac:dyDescent="0.25">
      <c r="A6" s="14" t="s">
        <v>28</v>
      </c>
      <c r="B6" s="15" t="s">
        <v>29</v>
      </c>
    </row>
    <row r="7" spans="1:2" ht="21.75" customHeight="1" x14ac:dyDescent="0.25">
      <c r="A7" s="14" t="s">
        <v>30</v>
      </c>
      <c r="B7" s="15" t="s">
        <v>31</v>
      </c>
    </row>
    <row r="8" spans="1:2" ht="21.75" customHeight="1" x14ac:dyDescent="0.25">
      <c r="A8" s="14" t="s">
        <v>32</v>
      </c>
      <c r="B8" s="15" t="s">
        <v>33</v>
      </c>
    </row>
    <row r="9" spans="1:2" ht="21.75" customHeight="1" x14ac:dyDescent="0.25">
      <c r="A9" s="14" t="s">
        <v>34</v>
      </c>
      <c r="B9" s="15" t="s">
        <v>35</v>
      </c>
    </row>
    <row r="10" spans="1:2" ht="21.75" customHeight="1" x14ac:dyDescent="0.25">
      <c r="A10" s="14" t="s">
        <v>36</v>
      </c>
      <c r="B10" s="15" t="s">
        <v>37</v>
      </c>
    </row>
    <row r="11" spans="1:2" ht="21.75" customHeight="1" x14ac:dyDescent="0.25">
      <c r="A11" s="14" t="s">
        <v>38</v>
      </c>
      <c r="B11" s="15" t="s">
        <v>39</v>
      </c>
    </row>
    <row r="12" spans="1:2" ht="21.75" customHeight="1" x14ac:dyDescent="0.25">
      <c r="A12" s="14" t="s">
        <v>40</v>
      </c>
      <c r="B12" s="15" t="s">
        <v>39</v>
      </c>
    </row>
    <row r="14" spans="1:2" x14ac:dyDescent="0.25">
      <c r="A14" s="3" t="s">
        <v>41</v>
      </c>
      <c r="B14" s="9" t="s">
        <v>42</v>
      </c>
    </row>
    <row r="15" spans="1:2" x14ac:dyDescent="0.25">
      <c r="A15" s="3" t="s">
        <v>43</v>
      </c>
      <c r="B15" s="9" t="s">
        <v>44</v>
      </c>
    </row>
    <row r="16" spans="1:2" x14ac:dyDescent="0.25">
      <c r="A16" s="16" t="s">
        <v>45</v>
      </c>
      <c r="B16" s="9" t="s">
        <v>46</v>
      </c>
    </row>
    <row r="17" spans="1:7" x14ac:dyDescent="0.25">
      <c r="A17" s="17" t="s">
        <v>47</v>
      </c>
      <c r="B17" s="9" t="s">
        <v>48</v>
      </c>
    </row>
    <row r="19" spans="1:7" ht="29.25" thickBot="1" x14ac:dyDescent="0.3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19</v>
      </c>
    </row>
    <row r="20" spans="1:7" ht="15.75" customHeight="1" thickBot="1" x14ac:dyDescent="0.3">
      <c r="A20" s="36" t="s">
        <v>138</v>
      </c>
      <c r="B20" s="37"/>
      <c r="C20" s="37"/>
      <c r="D20" s="37"/>
      <c r="E20" s="37"/>
      <c r="F20" s="37"/>
      <c r="G20" s="38"/>
    </row>
    <row r="21" spans="1:7" ht="15.75" thickBot="1" x14ac:dyDescent="0.3">
      <c r="A21" s="28" t="s">
        <v>55</v>
      </c>
      <c r="B21" s="29" t="s">
        <v>56</v>
      </c>
      <c r="C21" s="30" t="s">
        <v>57</v>
      </c>
      <c r="D21" s="31" t="s">
        <v>58</v>
      </c>
      <c r="E21" s="31">
        <v>1</v>
      </c>
      <c r="F21" s="31">
        <v>1</v>
      </c>
      <c r="G21" s="31" t="s">
        <v>59</v>
      </c>
    </row>
    <row r="22" spans="1:7" ht="15.75" thickBot="1" x14ac:dyDescent="0.3">
      <c r="A22" s="28" t="s">
        <v>55</v>
      </c>
      <c r="B22" s="29" t="s">
        <v>60</v>
      </c>
      <c r="C22" s="30" t="s">
        <v>61</v>
      </c>
      <c r="D22" s="31" t="s">
        <v>58</v>
      </c>
      <c r="E22" s="31">
        <v>2</v>
      </c>
      <c r="F22" s="31">
        <v>2</v>
      </c>
      <c r="G22" s="31" t="s">
        <v>59</v>
      </c>
    </row>
    <row r="23" spans="1:7" ht="15.75" thickBot="1" x14ac:dyDescent="0.3">
      <c r="A23" s="28" t="s">
        <v>55</v>
      </c>
      <c r="B23" s="29" t="s">
        <v>62</v>
      </c>
      <c r="C23" s="30" t="s">
        <v>63</v>
      </c>
      <c r="D23" s="31" t="s">
        <v>58</v>
      </c>
      <c r="E23" s="31">
        <v>3</v>
      </c>
      <c r="F23" s="31">
        <v>3</v>
      </c>
      <c r="G23" s="31" t="s">
        <v>59</v>
      </c>
    </row>
    <row r="24" spans="1:7" ht="15.75" thickBot="1" x14ac:dyDescent="0.3">
      <c r="A24" s="28" t="s">
        <v>55</v>
      </c>
      <c r="B24" s="29" t="s">
        <v>64</v>
      </c>
      <c r="C24" s="30" t="s">
        <v>65</v>
      </c>
      <c r="D24" s="31" t="s">
        <v>58</v>
      </c>
      <c r="E24" s="31">
        <v>1</v>
      </c>
      <c r="F24" s="31">
        <v>1</v>
      </c>
      <c r="G24" s="31" t="s">
        <v>59</v>
      </c>
    </row>
    <row r="25" spans="1:7" ht="15.75" thickBot="1" x14ac:dyDescent="0.3">
      <c r="A25" s="32" t="s">
        <v>139</v>
      </c>
      <c r="B25" s="33" t="s">
        <v>140</v>
      </c>
      <c r="C25" s="34" t="s">
        <v>141</v>
      </c>
      <c r="D25" s="35" t="s">
        <v>58</v>
      </c>
      <c r="E25" s="35">
        <v>1</v>
      </c>
      <c r="F25" s="35">
        <v>1</v>
      </c>
      <c r="G25" s="35" t="s">
        <v>59</v>
      </c>
    </row>
    <row r="26" spans="1:7" ht="15.75" thickBot="1" x14ac:dyDescent="0.3">
      <c r="A26" s="32" t="s">
        <v>139</v>
      </c>
      <c r="B26" s="33" t="s">
        <v>142</v>
      </c>
      <c r="C26" s="34" t="s">
        <v>143</v>
      </c>
      <c r="D26" s="35" t="s">
        <v>58</v>
      </c>
      <c r="E26" s="35">
        <v>1</v>
      </c>
      <c r="F26" s="35">
        <v>1</v>
      </c>
      <c r="G26" s="35" t="s">
        <v>59</v>
      </c>
    </row>
    <row r="27" spans="1:7" ht="15.75" thickBot="1" x14ac:dyDescent="0.3">
      <c r="A27" s="32" t="s">
        <v>139</v>
      </c>
      <c r="B27" s="33" t="s">
        <v>144</v>
      </c>
      <c r="C27" s="34" t="s">
        <v>145</v>
      </c>
      <c r="D27" s="35" t="s">
        <v>58</v>
      </c>
      <c r="E27" s="35">
        <v>2</v>
      </c>
      <c r="F27" s="35">
        <v>2</v>
      </c>
      <c r="G27" s="35" t="s">
        <v>59</v>
      </c>
    </row>
    <row r="28" spans="1:7" ht="15.75" thickBot="1" x14ac:dyDescent="0.3">
      <c r="A28" s="32" t="s">
        <v>139</v>
      </c>
      <c r="B28" s="33" t="s">
        <v>146</v>
      </c>
      <c r="C28" s="34" t="s">
        <v>147</v>
      </c>
      <c r="D28" s="35" t="s">
        <v>58</v>
      </c>
      <c r="E28" s="35">
        <v>1</v>
      </c>
      <c r="F28" s="35">
        <v>1</v>
      </c>
      <c r="G28" s="35" t="s">
        <v>59</v>
      </c>
    </row>
    <row r="29" spans="1:7" ht="15.75" thickBot="1" x14ac:dyDescent="0.3">
      <c r="A29" s="28" t="s">
        <v>66</v>
      </c>
      <c r="B29" s="29" t="s">
        <v>67</v>
      </c>
      <c r="C29" s="30" t="s">
        <v>68</v>
      </c>
      <c r="D29" s="31" t="s">
        <v>58</v>
      </c>
      <c r="E29" s="31">
        <v>1</v>
      </c>
      <c r="F29" s="31">
        <v>1</v>
      </c>
      <c r="G29" s="31" t="s">
        <v>59</v>
      </c>
    </row>
    <row r="30" spans="1:7" ht="15.75" thickBot="1" x14ac:dyDescent="0.3">
      <c r="A30" s="28" t="s">
        <v>66</v>
      </c>
      <c r="B30" s="29" t="s">
        <v>69</v>
      </c>
      <c r="C30" s="30" t="s">
        <v>70</v>
      </c>
      <c r="D30" s="31" t="s">
        <v>58</v>
      </c>
      <c r="E30" s="31">
        <v>3</v>
      </c>
      <c r="F30" s="31">
        <v>3</v>
      </c>
      <c r="G30" s="31" t="s">
        <v>59</v>
      </c>
    </row>
    <row r="31" spans="1:7" ht="15.75" thickBot="1" x14ac:dyDescent="0.3">
      <c r="A31" s="28" t="s">
        <v>66</v>
      </c>
      <c r="B31" s="29" t="s">
        <v>71</v>
      </c>
      <c r="C31" s="30" t="s">
        <v>72</v>
      </c>
      <c r="D31" s="31" t="s">
        <v>58</v>
      </c>
      <c r="E31" s="31">
        <v>1</v>
      </c>
      <c r="F31" s="31">
        <v>1</v>
      </c>
      <c r="G31" s="31" t="s">
        <v>59</v>
      </c>
    </row>
    <row r="32" spans="1:7" ht="15.75" thickBot="1" x14ac:dyDescent="0.3">
      <c r="A32" s="28" t="s">
        <v>66</v>
      </c>
      <c r="B32" s="29" t="s">
        <v>73</v>
      </c>
      <c r="C32" s="30" t="s">
        <v>74</v>
      </c>
      <c r="D32" s="31" t="s">
        <v>58</v>
      </c>
      <c r="E32" s="31">
        <v>3</v>
      </c>
      <c r="F32" s="31">
        <v>3</v>
      </c>
      <c r="G32" s="31" t="s">
        <v>59</v>
      </c>
    </row>
    <row r="33" spans="1:7" ht="15.75" thickBot="1" x14ac:dyDescent="0.3">
      <c r="A33" s="28" t="s">
        <v>66</v>
      </c>
      <c r="B33" s="29" t="s">
        <v>75</v>
      </c>
      <c r="C33" s="30" t="s">
        <v>76</v>
      </c>
      <c r="D33" s="31" t="s">
        <v>58</v>
      </c>
      <c r="E33" s="31">
        <v>1</v>
      </c>
      <c r="F33" s="31">
        <v>1</v>
      </c>
      <c r="G33" s="31" t="s">
        <v>59</v>
      </c>
    </row>
    <row r="34" spans="1:7" ht="15.75" customHeight="1" thickBot="1" x14ac:dyDescent="0.3">
      <c r="A34" s="39"/>
      <c r="B34" s="40" t="s">
        <v>148</v>
      </c>
      <c r="C34" s="41"/>
      <c r="D34" s="41"/>
      <c r="E34" s="42">
        <f>SUM(E21:E33)</f>
        <v>21</v>
      </c>
      <c r="F34" s="42">
        <f>SUM(F21:F33)</f>
        <v>21</v>
      </c>
      <c r="G34" s="41"/>
    </row>
    <row r="35" spans="1:7" ht="15.75" customHeight="1" thickBot="1" x14ac:dyDescent="0.3">
      <c r="A35" s="36" t="s">
        <v>149</v>
      </c>
      <c r="B35" s="37"/>
      <c r="C35" s="37"/>
      <c r="D35" s="37"/>
      <c r="E35" s="37"/>
      <c r="F35" s="37"/>
      <c r="G35" s="38"/>
    </row>
    <row r="36" spans="1:7" ht="26.25" thickBot="1" x14ac:dyDescent="0.3">
      <c r="A36" s="43" t="s">
        <v>150</v>
      </c>
      <c r="B36" s="44" t="s">
        <v>151</v>
      </c>
      <c r="C36" s="45" t="s">
        <v>152</v>
      </c>
      <c r="D36" s="46" t="s">
        <v>58</v>
      </c>
      <c r="E36" s="46">
        <v>2</v>
      </c>
      <c r="F36" s="46">
        <v>2</v>
      </c>
      <c r="G36" s="46" t="s">
        <v>59</v>
      </c>
    </row>
    <row r="37" spans="1:7" ht="15.75" thickBot="1" x14ac:dyDescent="0.3">
      <c r="A37" s="28" t="s">
        <v>150</v>
      </c>
      <c r="B37" s="29" t="s">
        <v>153</v>
      </c>
      <c r="C37" s="30" t="s">
        <v>154</v>
      </c>
      <c r="D37" s="31" t="s">
        <v>58</v>
      </c>
      <c r="E37" s="31">
        <v>3</v>
      </c>
      <c r="F37" s="31">
        <v>3</v>
      </c>
      <c r="G37" s="31" t="s">
        <v>59</v>
      </c>
    </row>
    <row r="38" spans="1:7" ht="15.75" thickBot="1" x14ac:dyDescent="0.3">
      <c r="A38" s="28" t="s">
        <v>150</v>
      </c>
      <c r="B38" s="29" t="s">
        <v>155</v>
      </c>
      <c r="C38" s="30" t="s">
        <v>156</v>
      </c>
      <c r="D38" s="31" t="s">
        <v>58</v>
      </c>
      <c r="E38" s="31">
        <v>3</v>
      </c>
      <c r="F38" s="31">
        <v>3</v>
      </c>
      <c r="G38" s="31" t="s">
        <v>59</v>
      </c>
    </row>
    <row r="39" spans="1:7" ht="15.75" thickBot="1" x14ac:dyDescent="0.3">
      <c r="A39" s="28" t="s">
        <v>150</v>
      </c>
      <c r="B39" s="29" t="s">
        <v>157</v>
      </c>
      <c r="C39" s="30" t="s">
        <v>158</v>
      </c>
      <c r="D39" s="31" t="s">
        <v>58</v>
      </c>
      <c r="E39" s="31">
        <v>2</v>
      </c>
      <c r="F39" s="31">
        <v>2</v>
      </c>
      <c r="G39" s="31" t="s">
        <v>59</v>
      </c>
    </row>
    <row r="40" spans="1:7" ht="15.75" thickBot="1" x14ac:dyDescent="0.3">
      <c r="A40" s="28" t="s">
        <v>150</v>
      </c>
      <c r="B40" s="29" t="s">
        <v>159</v>
      </c>
      <c r="C40" s="30" t="s">
        <v>160</v>
      </c>
      <c r="D40" s="31" t="s">
        <v>58</v>
      </c>
      <c r="E40" s="31">
        <v>3</v>
      </c>
      <c r="F40" s="31">
        <v>3</v>
      </c>
      <c r="G40" s="31" t="s">
        <v>59</v>
      </c>
    </row>
    <row r="41" spans="1:7" ht="15.75" thickBot="1" x14ac:dyDescent="0.3">
      <c r="A41" s="28" t="s">
        <v>150</v>
      </c>
      <c r="B41" s="29" t="s">
        <v>161</v>
      </c>
      <c r="C41" s="30" t="s">
        <v>162</v>
      </c>
      <c r="D41" s="31" t="s">
        <v>58</v>
      </c>
      <c r="E41" s="31">
        <v>2</v>
      </c>
      <c r="F41" s="31">
        <v>2</v>
      </c>
      <c r="G41" s="31" t="s">
        <v>59</v>
      </c>
    </row>
    <row r="42" spans="1:7" ht="26.25" thickBot="1" x14ac:dyDescent="0.3">
      <c r="A42" s="32" t="s">
        <v>200</v>
      </c>
      <c r="B42" s="33" t="s">
        <v>201</v>
      </c>
      <c r="C42" s="34" t="s">
        <v>202</v>
      </c>
      <c r="D42" s="35" t="s">
        <v>58</v>
      </c>
      <c r="E42" s="35">
        <v>2</v>
      </c>
      <c r="F42" s="35">
        <v>2</v>
      </c>
      <c r="G42" s="35" t="s">
        <v>59</v>
      </c>
    </row>
    <row r="43" spans="1:7" ht="15.75" thickBot="1" x14ac:dyDescent="0.3">
      <c r="A43" s="32" t="s">
        <v>200</v>
      </c>
      <c r="B43" s="33" t="s">
        <v>203</v>
      </c>
      <c r="C43" s="34" t="s">
        <v>204</v>
      </c>
      <c r="D43" s="35" t="s">
        <v>58</v>
      </c>
      <c r="E43" s="35">
        <v>3</v>
      </c>
      <c r="F43" s="35">
        <v>3</v>
      </c>
      <c r="G43" s="35" t="s">
        <v>59</v>
      </c>
    </row>
    <row r="44" spans="1:7" ht="15.75" thickBot="1" x14ac:dyDescent="0.3">
      <c r="A44" s="32" t="s">
        <v>200</v>
      </c>
      <c r="B44" s="33" t="s">
        <v>205</v>
      </c>
      <c r="C44" s="34" t="s">
        <v>206</v>
      </c>
      <c r="D44" s="35" t="s">
        <v>58</v>
      </c>
      <c r="E44" s="35">
        <v>1</v>
      </c>
      <c r="F44" s="35">
        <v>1</v>
      </c>
      <c r="G44" s="35" t="s">
        <v>59</v>
      </c>
    </row>
    <row r="45" spans="1:7" ht="15.75" thickBot="1" x14ac:dyDescent="0.3">
      <c r="A45" s="32" t="s">
        <v>200</v>
      </c>
      <c r="B45" s="33" t="s">
        <v>207</v>
      </c>
      <c r="C45" s="34" t="s">
        <v>208</v>
      </c>
      <c r="D45" s="35" t="s">
        <v>58</v>
      </c>
      <c r="E45" s="35">
        <v>1</v>
      </c>
      <c r="F45" s="35">
        <v>1</v>
      </c>
      <c r="G45" s="35" t="s">
        <v>59</v>
      </c>
    </row>
    <row r="46" spans="1:7" ht="15.75" customHeight="1" thickBot="1" x14ac:dyDescent="0.3">
      <c r="A46" s="39"/>
      <c r="B46" s="40" t="s">
        <v>163</v>
      </c>
      <c r="C46" s="41"/>
      <c r="D46" s="41"/>
      <c r="E46" s="42">
        <f>SUM(E36:E45)</f>
        <v>22</v>
      </c>
      <c r="F46" s="42">
        <f>SUM(F36:F45)</f>
        <v>22</v>
      </c>
      <c r="G46" s="41"/>
    </row>
    <row r="47" spans="1:7" ht="15.75" customHeight="1" thickBot="1" x14ac:dyDescent="0.3">
      <c r="A47" s="36" t="s">
        <v>164</v>
      </c>
      <c r="B47" s="37"/>
      <c r="C47" s="37"/>
      <c r="D47" s="37"/>
      <c r="E47" s="37"/>
      <c r="F47" s="37"/>
      <c r="G47" s="38"/>
    </row>
    <row r="48" spans="1:7" ht="15.75" thickBot="1" x14ac:dyDescent="0.3">
      <c r="A48" s="28" t="s">
        <v>165</v>
      </c>
      <c r="B48" s="29" t="s">
        <v>166</v>
      </c>
      <c r="C48" s="30" t="s">
        <v>167</v>
      </c>
      <c r="D48" s="31" t="s">
        <v>58</v>
      </c>
      <c r="E48" s="31">
        <v>1</v>
      </c>
      <c r="F48" s="31">
        <v>1</v>
      </c>
      <c r="G48" s="31" t="s">
        <v>59</v>
      </c>
    </row>
    <row r="49" spans="1:7" ht="15.75" thickBot="1" x14ac:dyDescent="0.3">
      <c r="A49" s="28" t="s">
        <v>165</v>
      </c>
      <c r="B49" s="29" t="s">
        <v>168</v>
      </c>
      <c r="C49" s="30" t="s">
        <v>169</v>
      </c>
      <c r="D49" s="31" t="s">
        <v>58</v>
      </c>
      <c r="E49" s="31">
        <v>2</v>
      </c>
      <c r="F49" s="31">
        <v>2</v>
      </c>
      <c r="G49" s="31" t="s">
        <v>59</v>
      </c>
    </row>
    <row r="50" spans="1:7" ht="15.75" thickBot="1" x14ac:dyDescent="0.3">
      <c r="A50" s="28" t="s">
        <v>165</v>
      </c>
      <c r="B50" s="29" t="s">
        <v>170</v>
      </c>
      <c r="C50" s="30" t="s">
        <v>171</v>
      </c>
      <c r="D50" s="31" t="s">
        <v>58</v>
      </c>
      <c r="E50" s="31">
        <v>3</v>
      </c>
      <c r="F50" s="31">
        <v>3</v>
      </c>
      <c r="G50" s="31" t="s">
        <v>59</v>
      </c>
    </row>
    <row r="51" spans="1:7" ht="15.75" thickBot="1" x14ac:dyDescent="0.3">
      <c r="A51" s="28" t="s">
        <v>165</v>
      </c>
      <c r="B51" s="29" t="s">
        <v>172</v>
      </c>
      <c r="C51" s="30" t="s">
        <v>173</v>
      </c>
      <c r="D51" s="31" t="s">
        <v>58</v>
      </c>
      <c r="E51" s="31">
        <v>1</v>
      </c>
      <c r="F51" s="31">
        <v>1</v>
      </c>
      <c r="G51" s="31" t="s">
        <v>59</v>
      </c>
    </row>
    <row r="52" spans="1:7" ht="15.75" thickBot="1" x14ac:dyDescent="0.3">
      <c r="A52" s="32" t="s">
        <v>174</v>
      </c>
      <c r="B52" s="33" t="s">
        <v>175</v>
      </c>
      <c r="C52" s="34" t="s">
        <v>176</v>
      </c>
      <c r="D52" s="35" t="s">
        <v>58</v>
      </c>
      <c r="E52" s="35">
        <v>2</v>
      </c>
      <c r="F52" s="35">
        <v>2</v>
      </c>
      <c r="G52" s="35" t="s">
        <v>59</v>
      </c>
    </row>
    <row r="53" spans="1:7" ht="15.75" thickBot="1" x14ac:dyDescent="0.3">
      <c r="A53" s="32" t="s">
        <v>174</v>
      </c>
      <c r="B53" s="33" t="s">
        <v>177</v>
      </c>
      <c r="C53" s="34" t="s">
        <v>178</v>
      </c>
      <c r="D53" s="35" t="s">
        <v>58</v>
      </c>
      <c r="E53" s="35">
        <v>3</v>
      </c>
      <c r="F53" s="35">
        <v>3</v>
      </c>
      <c r="G53" s="35" t="s">
        <v>59</v>
      </c>
    </row>
    <row r="54" spans="1:7" ht="15.75" thickBot="1" x14ac:dyDescent="0.3">
      <c r="A54" s="32" t="s">
        <v>174</v>
      </c>
      <c r="B54" s="33" t="s">
        <v>179</v>
      </c>
      <c r="C54" s="34" t="s">
        <v>180</v>
      </c>
      <c r="D54" s="35" t="s">
        <v>58</v>
      </c>
      <c r="E54" s="35">
        <v>1</v>
      </c>
      <c r="F54" s="35">
        <v>1</v>
      </c>
      <c r="G54" s="35" t="s">
        <v>59</v>
      </c>
    </row>
    <row r="55" spans="1:7" ht="15.75" thickBot="1" x14ac:dyDescent="0.3">
      <c r="A55" s="28" t="s">
        <v>181</v>
      </c>
      <c r="B55" s="29" t="s">
        <v>182</v>
      </c>
      <c r="C55" s="30" t="s">
        <v>183</v>
      </c>
      <c r="D55" s="31" t="s">
        <v>58</v>
      </c>
      <c r="E55" s="31">
        <v>2</v>
      </c>
      <c r="F55" s="31">
        <v>2</v>
      </c>
      <c r="G55" s="31" t="s">
        <v>59</v>
      </c>
    </row>
    <row r="56" spans="1:7" ht="15.75" thickBot="1" x14ac:dyDescent="0.3">
      <c r="A56" s="28" t="s">
        <v>181</v>
      </c>
      <c r="B56" s="29" t="s">
        <v>184</v>
      </c>
      <c r="C56" s="30" t="s">
        <v>185</v>
      </c>
      <c r="D56" s="31" t="s">
        <v>58</v>
      </c>
      <c r="E56" s="31">
        <v>2</v>
      </c>
      <c r="F56" s="31">
        <v>2</v>
      </c>
      <c r="G56" s="31" t="s">
        <v>59</v>
      </c>
    </row>
    <row r="57" spans="1:7" ht="15.75" thickBot="1" x14ac:dyDescent="0.3">
      <c r="A57" s="28" t="s">
        <v>181</v>
      </c>
      <c r="B57" s="29" t="s">
        <v>186</v>
      </c>
      <c r="C57" s="30" t="s">
        <v>187</v>
      </c>
      <c r="D57" s="31" t="s">
        <v>58</v>
      </c>
      <c r="E57" s="31">
        <v>3</v>
      </c>
      <c r="F57" s="31">
        <v>3</v>
      </c>
      <c r="G57" s="31" t="s">
        <v>59</v>
      </c>
    </row>
    <row r="58" spans="1:7" ht="15.75" thickBot="1" x14ac:dyDescent="0.3">
      <c r="A58" s="28" t="s">
        <v>181</v>
      </c>
      <c r="B58" s="29" t="s">
        <v>188</v>
      </c>
      <c r="C58" s="30" t="s">
        <v>189</v>
      </c>
      <c r="D58" s="31" t="s">
        <v>58</v>
      </c>
      <c r="E58" s="31">
        <v>1</v>
      </c>
      <c r="F58" s="31">
        <v>1</v>
      </c>
      <c r="G58" s="31" t="s">
        <v>59</v>
      </c>
    </row>
    <row r="59" spans="1:7" ht="15.75" customHeight="1" thickBot="1" x14ac:dyDescent="0.3">
      <c r="A59" s="39"/>
      <c r="B59" s="40" t="s">
        <v>190</v>
      </c>
      <c r="C59" s="41"/>
      <c r="D59" s="41"/>
      <c r="E59" s="42">
        <f>SUM(E48:E58)</f>
        <v>21</v>
      </c>
      <c r="F59" s="42">
        <f>SUM(F48:F58)</f>
        <v>21</v>
      </c>
      <c r="G59" s="41"/>
    </row>
    <row r="60" spans="1:7" ht="15.75" thickBot="1" x14ac:dyDescent="0.3">
      <c r="A60" s="36" t="s">
        <v>191</v>
      </c>
      <c r="B60" s="37"/>
      <c r="C60" s="37"/>
      <c r="D60" s="37"/>
      <c r="E60" s="37"/>
      <c r="F60" s="37"/>
      <c r="G60" s="38"/>
    </row>
    <row r="61" spans="1:7" ht="15.75" thickBot="1" x14ac:dyDescent="0.3">
      <c r="A61" s="28" t="s">
        <v>192</v>
      </c>
      <c r="B61" s="29" t="s">
        <v>193</v>
      </c>
      <c r="C61" s="30" t="s">
        <v>194</v>
      </c>
      <c r="D61" s="31" t="s">
        <v>58</v>
      </c>
      <c r="E61" s="31">
        <v>2</v>
      </c>
      <c r="F61" s="31">
        <v>2</v>
      </c>
      <c r="G61" s="31" t="s">
        <v>59</v>
      </c>
    </row>
    <row r="62" spans="1:7" ht="15.75" thickBot="1" x14ac:dyDescent="0.3">
      <c r="A62" s="28" t="s">
        <v>192</v>
      </c>
      <c r="B62" s="29" t="s">
        <v>195</v>
      </c>
      <c r="C62" s="30" t="s">
        <v>196</v>
      </c>
      <c r="D62" s="31" t="s">
        <v>58</v>
      </c>
      <c r="E62" s="31">
        <v>3</v>
      </c>
      <c r="F62" s="31">
        <v>3</v>
      </c>
      <c r="G62" s="31" t="s">
        <v>59</v>
      </c>
    </row>
    <row r="63" spans="1:7" ht="15.75" thickBot="1" x14ac:dyDescent="0.3">
      <c r="A63" s="28" t="s">
        <v>192</v>
      </c>
      <c r="B63" s="29" t="s">
        <v>197</v>
      </c>
      <c r="C63" s="30" t="s">
        <v>198</v>
      </c>
      <c r="D63" s="31" t="s">
        <v>58</v>
      </c>
      <c r="E63" s="31">
        <v>1</v>
      </c>
      <c r="F63" s="31">
        <v>1</v>
      </c>
      <c r="G63" s="31" t="s">
        <v>59</v>
      </c>
    </row>
    <row r="64" spans="1:7" ht="15.75" thickBot="1" x14ac:dyDescent="0.3">
      <c r="A64" s="39"/>
      <c r="B64" s="40" t="s">
        <v>199</v>
      </c>
      <c r="C64" s="41"/>
      <c r="D64" s="41"/>
      <c r="E64" s="42">
        <f>SUM(E61:E63)</f>
        <v>6</v>
      </c>
      <c r="F64" s="42">
        <f>SUM(F61:F63)</f>
        <v>6</v>
      </c>
      <c r="G64" s="41"/>
    </row>
    <row r="65" spans="1:7" x14ac:dyDescent="0.25">
      <c r="A65" s="19" t="s">
        <v>77</v>
      </c>
      <c r="B65" s="20"/>
      <c r="C65" s="21" t="s">
        <v>78</v>
      </c>
      <c r="D65" s="20"/>
      <c r="E65" s="19">
        <v>16</v>
      </c>
      <c r="F65" s="19">
        <v>16</v>
      </c>
      <c r="G65" s="20"/>
    </row>
    <row r="67" spans="1:7" x14ac:dyDescent="0.25">
      <c r="A67" s="3" t="s">
        <v>79</v>
      </c>
    </row>
    <row r="68" spans="1:7" x14ac:dyDescent="0.25">
      <c r="A68" s="22" t="s">
        <v>59</v>
      </c>
      <c r="B68" s="9" t="s">
        <v>80</v>
      </c>
    </row>
    <row r="69" spans="1:7" x14ac:dyDescent="0.25">
      <c r="A69" s="23" t="s">
        <v>81</v>
      </c>
      <c r="B69" s="9" t="s">
        <v>82</v>
      </c>
    </row>
    <row r="70" spans="1:7" x14ac:dyDescent="0.25">
      <c r="A70" s="17" t="s">
        <v>83</v>
      </c>
      <c r="B70" s="9" t="s">
        <v>84</v>
      </c>
    </row>
    <row r="71" spans="1:7" x14ac:dyDescent="0.25">
      <c r="A71" s="16" t="s">
        <v>85</v>
      </c>
      <c r="B71" s="9" t="s">
        <v>86</v>
      </c>
    </row>
  </sheetData>
  <mergeCells count="4">
    <mergeCell ref="A20:G20"/>
    <mergeCell ref="A35:G35"/>
    <mergeCell ref="A47:G47"/>
    <mergeCell ref="A60:G6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zoomScaleNormal="100" workbookViewId="0">
      <selection activeCell="B25" sqref="B25"/>
    </sheetView>
  </sheetViews>
  <sheetFormatPr baseColWidth="10" defaultColWidth="8.7109375" defaultRowHeight="15" x14ac:dyDescent="0.25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2.5" x14ac:dyDescent="0.3">
      <c r="A1" s="13" t="s">
        <v>87</v>
      </c>
    </row>
    <row r="2" spans="1:5" x14ac:dyDescent="0.25">
      <c r="A2" s="9" t="s">
        <v>88</v>
      </c>
    </row>
    <row r="4" spans="1:5" x14ac:dyDescent="0.25">
      <c r="A4" s="3" t="s">
        <v>89</v>
      </c>
      <c r="B4" s="9" t="s">
        <v>90</v>
      </c>
    </row>
    <row r="5" spans="1:5" x14ac:dyDescent="0.25">
      <c r="A5" s="3" t="s">
        <v>91</v>
      </c>
      <c r="B5" s="9" t="s">
        <v>92</v>
      </c>
    </row>
    <row r="7" spans="1:5" ht="28.5" x14ac:dyDescent="0.25">
      <c r="A7" s="18" t="s">
        <v>93</v>
      </c>
      <c r="B7" s="18" t="s">
        <v>94</v>
      </c>
      <c r="C7" s="18" t="s">
        <v>95</v>
      </c>
      <c r="D7" s="18" t="s">
        <v>96</v>
      </c>
      <c r="E7" s="18" t="s">
        <v>97</v>
      </c>
    </row>
    <row r="8" spans="1:5" x14ac:dyDescent="0.25">
      <c r="A8" s="24" t="s">
        <v>98</v>
      </c>
      <c r="B8" s="25">
        <v>16</v>
      </c>
      <c r="C8" s="25" t="s">
        <v>99</v>
      </c>
      <c r="D8" s="25"/>
      <c r="E8" s="15" t="s">
        <v>100</v>
      </c>
    </row>
    <row r="9" spans="1:5" x14ac:dyDescent="0.25">
      <c r="A9" s="24" t="s">
        <v>101</v>
      </c>
      <c r="B9" s="25">
        <v>12</v>
      </c>
      <c r="C9" s="25" t="s">
        <v>99</v>
      </c>
      <c r="D9" s="25"/>
      <c r="E9" s="15" t="s">
        <v>102</v>
      </c>
    </row>
    <row r="10" spans="1:5" x14ac:dyDescent="0.25">
      <c r="A10" s="24" t="s">
        <v>103</v>
      </c>
      <c r="B10" s="25">
        <v>8</v>
      </c>
      <c r="C10" s="25" t="s">
        <v>99</v>
      </c>
      <c r="D10" s="25"/>
      <c r="E10" s="15" t="s">
        <v>104</v>
      </c>
    </row>
    <row r="11" spans="1:5" x14ac:dyDescent="0.25">
      <c r="A11" s="24" t="s">
        <v>105</v>
      </c>
      <c r="B11" s="25">
        <v>4</v>
      </c>
      <c r="C11" s="25" t="s">
        <v>99</v>
      </c>
      <c r="D11" s="25"/>
      <c r="E11" s="15" t="s">
        <v>106</v>
      </c>
    </row>
    <row r="12" spans="1:5" x14ac:dyDescent="0.25">
      <c r="A12" s="24" t="s">
        <v>107</v>
      </c>
      <c r="B12" s="25">
        <v>0</v>
      </c>
      <c r="C12" s="25" t="s">
        <v>99</v>
      </c>
      <c r="D12" s="25"/>
      <c r="E12" s="15" t="s">
        <v>108</v>
      </c>
    </row>
    <row r="15" spans="1:5" x14ac:dyDescent="0.25">
      <c r="A15" s="3" t="s">
        <v>109</v>
      </c>
      <c r="B15" s="7" t="s">
        <v>110</v>
      </c>
    </row>
    <row r="17" spans="1:2" x14ac:dyDescent="0.25">
      <c r="A17" s="3" t="s">
        <v>111</v>
      </c>
    </row>
    <row r="18" spans="1:2" x14ac:dyDescent="0.25">
      <c r="A18" s="16" t="s">
        <v>112</v>
      </c>
      <c r="B18" s="9" t="s">
        <v>113</v>
      </c>
    </row>
    <row r="19" spans="1:2" x14ac:dyDescent="0.25">
      <c r="A19" s="23" t="s">
        <v>114</v>
      </c>
      <c r="B19" s="9" t="s">
        <v>115</v>
      </c>
    </row>
    <row r="20" spans="1:2" x14ac:dyDescent="0.25">
      <c r="A20" s="16" t="s">
        <v>116</v>
      </c>
      <c r="B20" s="9" t="s">
        <v>117</v>
      </c>
    </row>
    <row r="21" spans="1:2" x14ac:dyDescent="0.25">
      <c r="A21" s="17" t="s">
        <v>118</v>
      </c>
      <c r="B21" s="9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zoomScaleNormal="100" workbookViewId="0">
      <selection activeCell="B25" sqref="B25"/>
    </sheetView>
  </sheetViews>
  <sheetFormatPr baseColWidth="10" defaultColWidth="8.7109375" defaultRowHeight="15" x14ac:dyDescent="0.25"/>
  <cols>
    <col min="1" max="1" width="7.28515625" customWidth="1"/>
    <col min="2" max="2" width="84.28515625" customWidth="1"/>
    <col min="3" max="3" width="40.7109375" customWidth="1"/>
    <col min="4" max="4" width="41.85546875" customWidth="1"/>
  </cols>
  <sheetData>
    <row r="2" spans="1:4" ht="18" x14ac:dyDescent="0.25">
      <c r="B2" s="2" t="s">
        <v>120</v>
      </c>
    </row>
    <row r="3" spans="1:4" x14ac:dyDescent="0.25">
      <c r="B3" s="9" t="s">
        <v>121</v>
      </c>
    </row>
    <row r="5" spans="1:4" x14ac:dyDescent="0.25">
      <c r="A5" s="18"/>
      <c r="B5" s="18" t="s">
        <v>122</v>
      </c>
      <c r="C5" s="18" t="s">
        <v>123</v>
      </c>
      <c r="D5" t="s">
        <v>124</v>
      </c>
    </row>
    <row r="6" spans="1:4" ht="30" x14ac:dyDescent="0.25">
      <c r="B6" s="26" t="s">
        <v>125</v>
      </c>
      <c r="C6" s="27" t="s">
        <v>126</v>
      </c>
      <c r="D6" s="26" t="s">
        <v>127</v>
      </c>
    </row>
    <row r="7" spans="1:4" x14ac:dyDescent="0.25">
      <c r="B7" s="26" t="s">
        <v>128</v>
      </c>
      <c r="C7" s="27" t="s">
        <v>126</v>
      </c>
      <c r="D7" s="26" t="s">
        <v>127</v>
      </c>
    </row>
    <row r="8" spans="1:4" x14ac:dyDescent="0.25">
      <c r="B8" s="26" t="s">
        <v>129</v>
      </c>
      <c r="C8" s="27" t="s">
        <v>126</v>
      </c>
      <c r="D8" s="26" t="s">
        <v>127</v>
      </c>
    </row>
    <row r="9" spans="1:4" x14ac:dyDescent="0.25">
      <c r="B9" s="26" t="s">
        <v>130</v>
      </c>
      <c r="C9" s="27" t="s">
        <v>126</v>
      </c>
      <c r="D9" s="26" t="s">
        <v>127</v>
      </c>
    </row>
    <row r="10" spans="1:4" x14ac:dyDescent="0.25">
      <c r="B10" s="26" t="s">
        <v>131</v>
      </c>
      <c r="C10" s="27" t="s">
        <v>126</v>
      </c>
      <c r="D10" s="26" t="s">
        <v>127</v>
      </c>
    </row>
    <row r="11" spans="1:4" x14ac:dyDescent="0.25">
      <c r="B11" s="26" t="s">
        <v>132</v>
      </c>
      <c r="C11" s="27" t="s">
        <v>126</v>
      </c>
      <c r="D11" s="26" t="s">
        <v>127</v>
      </c>
    </row>
    <row r="12" spans="1:4" x14ac:dyDescent="0.25">
      <c r="B12" s="26" t="s">
        <v>133</v>
      </c>
      <c r="C12" s="27" t="s">
        <v>126</v>
      </c>
      <c r="D12" s="26" t="s">
        <v>127</v>
      </c>
    </row>
    <row r="13" spans="1:4" x14ac:dyDescent="0.25">
      <c r="B13" s="26" t="s">
        <v>134</v>
      </c>
      <c r="C13" s="27" t="s">
        <v>126</v>
      </c>
      <c r="D13" s="26" t="s">
        <v>127</v>
      </c>
    </row>
    <row r="14" spans="1:4" x14ac:dyDescent="0.25">
      <c r="B14" s="26" t="s">
        <v>135</v>
      </c>
      <c r="C14" s="27" t="s">
        <v>126</v>
      </c>
      <c r="D14" s="26" t="s">
        <v>127</v>
      </c>
    </row>
    <row r="15" spans="1:4" x14ac:dyDescent="0.25">
      <c r="B15" s="26" t="s">
        <v>136</v>
      </c>
      <c r="C15" s="27" t="s">
        <v>137</v>
      </c>
      <c r="D15" s="2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1</vt:lpstr>
      <vt:lpstr>Burndown Sprint 1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Sebastien GERARD</cp:lastModifiedBy>
  <cp:revision>0</cp:revision>
  <dcterms:created xsi:type="dcterms:W3CDTF">2026-06-25T22:39:08Z</dcterms:created>
  <dcterms:modified xsi:type="dcterms:W3CDTF">2026-06-29T15:43:25Z</dcterms:modified>
  <dc:language>en-US</dc:language>
</cp:coreProperties>
</file>