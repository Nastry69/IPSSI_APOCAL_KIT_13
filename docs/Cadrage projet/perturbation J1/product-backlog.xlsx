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rar\Downloads\"/>
    </mc:Choice>
  </mc:AlternateContent>
  <xr:revisionPtr revIDLastSave="0" documentId="13_ncr:1_{07A91A07-C6CE-4F47-BAA6-01AD84DFAB4C}" xr6:coauthVersionLast="47" xr6:coauthVersionMax="47" xr10:uidLastSave="{00000000-0000-0000-0000-000000000000}"/>
  <bookViews>
    <workbookView xWindow="35880" yWindow="-4815" windowWidth="57840" windowHeight="31920" tabRatio="500" activeTab="2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  <sheet name="Base de donnée " sheetId="7" r:id="rId7"/>
  </sheets>
  <definedNames>
    <definedName name="_xlnm._FilterDatabase" localSheetId="3" hidden="1">Backlog!$A$9:$K$38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3" l="1"/>
  <c r="E9" i="3"/>
  <c r="E10" i="3"/>
  <c r="E11" i="3"/>
  <c r="E12" i="3"/>
  <c r="E7" i="3"/>
  <c r="F38" i="4"/>
  <c r="E13" i="3" l="1"/>
</calcChain>
</file>

<file path=xl/sharedStrings.xml><?xml version="1.0" encoding="utf-8"?>
<sst xmlns="http://schemas.openxmlformats.org/spreadsheetml/2006/main" count="423" uniqueCount="221">
  <si>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</si>
  <si>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</si>
  <si>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</si>
  <si>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</si>
  <si>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</si>
  <si>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</si>
  <si>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</si>
  <si>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</si>
  <si>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</si>
  <si>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</si>
  <si>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</si>
  <si>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</si>
  <si>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Cadrage</t>
  </si>
  <si>
    <t>Version</t>
  </si>
  <si>
    <t>v1.0</t>
  </si>
  <si>
    <t>Date de remise</t>
  </si>
  <si>
    <t>29/06/2026  12h30</t>
  </si>
  <si>
    <t>Statut</t>
  </si>
  <si>
    <t>Draft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</si>
  <si>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</si>
  <si>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</si>
  <si>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</si>
  <si>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</si>
  <si>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</si>
  <si>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</si>
  <si>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</si>
  <si>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</si>
  <si>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</si>
  <si>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</si>
  <si>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</si>
  <si>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</si>
  <si>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</si>
  <si>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</si>
  <si>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</si>
  <si>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</si>
  <si>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</si>
  <si>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</si>
  <si>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</si>
  <si>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</si>
  <si>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</si>
  <si>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</si>
  <si>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</si>
  <si>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</si>
  <si>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</si>
  <si>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</si>
  <si>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</si>
  <si>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</si>
  <si>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</si>
  <si>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</si>
  <si>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</si>
  <si>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</si>
  <si>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</si>
  <si>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</si>
  <si>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</si>
  <si>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</si>
  <si>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</si>
  <si>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</si>
  <si>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</si>
  <si>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</si>
  <si>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</si>
  <si>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</si>
  <si>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</si>
  <si>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</si>
  <si>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</si>
  <si>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</si>
  <si>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</si>
  <si>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</si>
  <si>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</si>
  <si>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</si>
  <si>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</si>
  <si>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</si>
  <si>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</si>
  <si>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</si>
  <si>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</si>
  <si>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</si>
  <si>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</si>
  <si>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</si>
  <si>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</si>
  <si>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</si>
  <si>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</si>
  <si>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</si>
  <si>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</si>
  <si>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</si>
  <si>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</si>
  <si>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</si>
  <si>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</si>
  <si>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</si>
  <si>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</si>
  <si>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</si>
  <si>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</si>
  <si>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</si>
  <si>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</si>
  <si>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</si>
  <si>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</si>
  <si>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</si>
  <si>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</si>
  <si>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</si>
  <si>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</si>
  <si>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</si>
  <si>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</si>
  <si>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</si>
  <si>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</si>
  <si>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</si>
  <si>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</si>
  <si>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</si>
  <si>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</si>
  <si>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</si>
  <si>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</si>
  <si>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</si>
  <si>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</si>
  <si>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</si>
  <si>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</si>
  <si>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</si>
  <si>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</si>
  <si>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</si>
  <si>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</si>
  <si>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</si>
  <si>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</si>
  <si>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</si>
  <si>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</si>
  <si>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</si>
  <si>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</si>
  <si>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</si>
  <si>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</si>
  <si>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</si>
  <si>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</si>
  <si>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</si>
  <si>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</si>
  <si>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</si>
  <si>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</si>
  <si>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</si>
  <si>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</si>
  <si>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</si>
  <si>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</si>
  <si>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</si>
  <si>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</si>
  <si>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</si>
  <si>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</si>
  <si>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</si>
  <si>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</si>
  <si>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</si>
  <si>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</si>
  <si>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</si>
  <si>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</si>
  <si>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</si>
  <si>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</si>
  <si>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</si>
  <si>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</si>
  <si>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</si>
  <si>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</si>
  <si>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</si>
  <si>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</si>
  <si>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</si>
  <si>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</si>
  <si>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</si>
  <si>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</si>
  <si>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</si>
  <si>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</si>
  <si>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</si>
  <si>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</si>
  <si>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</si>
  <si>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</si>
  <si>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</si>
  <si>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</si>
  <si>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</si>
  <si>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</si>
  <si>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</si>
  <si>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</si>
  <si>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</si>
  <si>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</si>
  <si>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</si>
  <si>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</si>
  <si>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</si>
  <si>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</si>
  <si>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</si>
  <si>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</si>
  <si>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</si>
  <si>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</si>
  <si>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</si>
  <si>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</si>
  <si>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</si>
  <si>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☑ Oui   ☐ Partiel   ☐ Non</t>
  </si>
  <si>
    <t>Conforme — complété pour EduTutor IA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</si>
  <si>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</si>
  <si>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</si>
  <si>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</si>
  <si>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</si>
  <si>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</si>
  <si>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</si>
  <si>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</si>
  <si>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</si>
  <si>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☐ Oui   ☐ Partiel   ☐ Non</t>
  </si>
  <si>
    <t>Toutes les stories ont été passées au crible INVEST en équipe</t>
  </si>
  <si>
    <t>APOCALIPSSI - Groupe 13</t>
  </si>
  <si>
    <t>Tristan DZIOCH · Sebastien GERARD · Syphax ALILI · Killian MARTINS · Amine TALEB · Jacqueline MAPENZI · Moussa DIOP</t>
  </si>
  <si>
    <t>US-21</t>
  </si>
  <si>
    <t>US-22</t>
  </si>
  <si>
    <t>US-23</t>
  </si>
  <si>
    <t>En tant qu'enseignant·e, je veux créer un quiz manuellement avec mes propres questions, afin de contrôler exactement le contenu évalué.</t>
  </si>
  <si>
    <t>US-24</t>
  </si>
  <si>
    <t>US-25</t>
  </si>
  <si>
    <t>US-26</t>
  </si>
  <si>
    <t>En tant qu'enseignant·e, je veux choisir le type de questions (QCM, vrai/faux, réponse courte), afin de diversifier l'évaluation selon le chapitre.</t>
  </si>
  <si>
    <t>Uploader un cours / Exporter</t>
  </si>
  <si>
    <t>En tant qu'enseignant·e, je veux que le quiz s'adapte automatiquement au niveau de l'élève selon ses résultats passés, afin de proposer une progression pédagogique personnalisée.</t>
  </si>
  <si>
    <t>En tant qu'enseignant·e, je veux créer un compte avec email et mot de passe, afin de sauvegarder mes quizz et y revenir.</t>
  </si>
  <si>
    <t>G : visiteur non authentifié sur /signup
W : soumet email valide + mdp ≥ 8 caractères
T : compte créé, email de confirmation envoyé, redirect /upload</t>
  </si>
  <si>
    <t>☐</t>
  </si>
  <si>
    <t>G : enseignant authentifié sur /quiz/create
W : saisit ≥ 1 question, marque la bonne réponse et clique « Publier »
T : quiz enregistré, visible dans /library, distribuable à la classe</t>
  </si>
  <si>
    <t>En tant qu'enseignant·e, je veux que chaque session d'un quiz tire les questions dans un ordre et des variantes différents, afin d'éviter que les étudiants s'échangent les réponses.</t>
  </si>
  <si>
    <t>[1 critère type : banque ≥ 15 questions → ordre des questions et des propositions randomisé par session, ≤ 60 % de recouvrement entre 2 étudiants]</t>
  </si>
  <si>
    <t>G : enseignant sur /quiz/create
W : sélectionne un type (QCM / Vrai-Faux / Réponse courte) pour chaque question
T : la question s'affiche et se corrige selon le type, mix de types possible dans un même quiz</t>
  </si>
  <si>
    <t>[1 critère type : élève avec ≥ 3 quiz passés sur le chapitre → difficulté ajustée de ±1 niveau selon le score moyen + questions ciblant les lacunes identifiées]</t>
  </si>
  <si>
    <t>En tant qu'enseignant·e, je veux prévisualiser et retoucher chaque question générée avant publication, afin de garantir la qualité pédagogique du quiz.</t>
  </si>
  <si>
    <t>[1 critère type : quiz généré non publié → édition intitulé/propositions d'une question + validation → aperçu mis à jour, quiz publiable]</t>
  </si>
  <si>
    <t>US-27</t>
  </si>
  <si>
    <t>En tant qu'enseignant·e, je veux exporter un quiz au format Word/PDF, afin de l'imprimer et le distribuer en classe.</t>
  </si>
  <si>
    <t>[1 critère type : quiz publié → bouton « Exporter » (Word ou PDF) → fichier .docx/.pdf téléchargé, mise en page imprimable A4 + corrigé optionnel]</t>
  </si>
  <si>
    <t>US-28</t>
  </si>
  <si>
    <t>En tant qu'enseignant·e, je veux consulter les corrections détaillées de chaque élève sur mes quiz, afin d'identifier les notions mal comprises par la classe.</t>
  </si>
  <si>
    <t>[1 critère type : quiz soumis par ≥ 1 classe → page /quiz/{id}/résultats avec détail bonnes/mauvaises réponses par élève + agrégat des questions les plus ratées (top lacunes)]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</si>
</sst>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1"/>
      <color rgb="FFFFFFFF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0"/>
      <color rgb="FF1E1B4B"/>
      <name val="Cambria"/>
      <charset val="1"/>
    </font>
    <font>
      <sz val="9"/>
      <color rgb="FF1E1B4B"/>
      <name val="Cambria"/>
      <charset val="1"/>
    </font>
    <font>
      <b/>
      <sz val="10"/>
      <color rgb="FFB45309"/>
      <name val="Cambria"/>
      <charset val="1"/>
    </font>
    <font>
      <b/>
      <sz val="10"/>
      <color rgb="FF475569"/>
      <name val="Cambria"/>
      <charset val="1"/>
    </font>
    <font>
      <b/>
      <sz val="14"/>
      <color rgb="FF16A34A"/>
      <name val="Cambria"/>
      <charset val="1"/>
    </font>
    <font>
      <sz val="11"/>
      <color rgb="FF1E1B4B"/>
      <name val="Cambria"/>
      <charset val="1"/>
    </font>
    <font>
      <sz val="8"/>
      <name val="Calibri"/>
      <family val="2"/>
      <charset val="1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  <fill>
      <patternFill patternType="solid">
        <fgColor rgb="FFF4B7B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A6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0" fillId="8" borderId="4" xfId="0" applyFont="1" applyFill="1" applyBorder="1"/>
    <xf numFmtId="0" fontId="0" fillId="8" borderId="4" xfId="0" applyFill="1" applyBorder="1"/>
    <xf numFmtId="0" fontId="9" fillId="8" borderId="4" xfId="0" applyFont="1" applyFill="1" applyBorder="1"/>
    <xf numFmtId="0" fontId="25" fillId="9" borderId="6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vertical="top" wrapText="1"/>
    </xf>
    <xf numFmtId="0" fontId="26" fillId="0" borderId="6" xfId="0" applyFont="1" applyBorder="1" applyAlignment="1">
      <alignment vertical="top" wrapText="1"/>
    </xf>
    <xf numFmtId="0" fontId="25" fillId="11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charset val="1"/>
        <scheme val="none"/>
      </font>
      <fill>
        <patternFill patternType="solid">
          <fgColor rgb="FF003366"/>
          <bgColor rgb="FF1E1B4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1B4B"/>
        <name val="Cambria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94A3B8"/>
        </left>
        <right style="thin">
          <color rgb="FF94A3B8"/>
        </right>
        <top style="thin">
          <color rgb="FF94A3B8"/>
        </top>
        <bottom style="thin">
          <color rgb="FF94A3B8"/>
        </bottom>
        <vertical/>
        <horizontal/>
      </border>
    </dxf>
    <dxf>
      <border outline="0">
        <top style="thin">
          <color rgb="FF94A3B8"/>
        </top>
      </border>
    </dxf>
    <dxf>
      <border outline="0">
        <bottom style="thin">
          <color rgb="FFCCCCCC"/>
        </bottom>
      </border>
    </dxf>
    <dxf>
      <border outline="0">
        <top style="thin">
          <color rgb="FFCCCCCC"/>
        </top>
        <bottom style="thin">
          <color rgb="FF94A3B8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38199-DBAF-4013-BE8F-33A0F473BE61}" name="Tableau1" displayName="Tableau1" ref="A9:K38" totalsRowShown="0" headerRowDxfId="0" dataDxfId="1" headerRowBorderDxfId="13" tableBorderDxfId="14" totalsRowBorderDxfId="12">
  <autoFilter ref="A9:K38" xr:uid="{00000000-0001-0000-0300-000000000000}"/>
  <tableColumns count="11">
    <tableColumn id="1" xr3:uid="{2D59EDDE-F08A-4621-A347-568D08F2A72E}" name="ID" dataDxfId="11"/>
    <tableColumn id="2" xr3:uid="{994F843F-12A2-4E56-976A-DD00E8412A0C}" name="Epic" dataDxfId="10"/>
    <tableColumn id="3" xr3:uid="{008E672B-1B31-4CED-878E-89E6DE73963D}" name="User Story (INVEST)" dataDxfId="9"/>
    <tableColumn id="4" xr3:uid="{E57ECB6F-5EA7-4436-9639-B7BA67F479E7}" name="Persona" dataDxfId="8"/>
    <tableColumn id="5" xr3:uid="{F0256F5E-4364-4E9C-BDA9-248B8F53E89B}" name="MoSCoW"/>
    <tableColumn id="6" xr3:uid="{59A5A192-0ED3-4B96-BF1D-F486F113585A}" name="SP" dataDxfId="7"/>
    <tableColumn id="7" xr3:uid="{7E5629FA-96A9-4061-AEDF-6AD1AA702D3C}" name="Critères d'acceptation (3 G/W/T pour MUST)" dataDxfId="6"/>
    <tableColumn id="8" xr3:uid="{95B6C0A0-7BF6-4F6D-A5CC-A365BC1FA570}" name="DoR" dataDxfId="5"/>
    <tableColumn id="9" xr3:uid="{F622F66D-A637-4192-8191-976DB4B52272}" name="DoD" dataDxfId="4"/>
    <tableColumn id="10" xr3:uid="{2AE99E2D-6BC5-484B-ACB1-5023603C2106}" name="Sprint" dataDxfId="3"/>
    <tableColumn id="11" xr3:uid="{B4133920-D9A0-4889-92F6-59FEC20E4AF5}" name="Statu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015B67-689F-43F7-9A21-2ED79B2B39F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6445f5e-c49b-4d9c-a99a-4532827e0716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90" customWidth="1"/>
  </cols>
  <sheetData>
    <row r="2" spans="2:2" ht="88.5" x14ac:dyDescent="1.1000000000000001">
      <c r="B2" s="1" t="s">
        <v>0</v>
      </c>
    </row>
    <row r="4" spans="2:2" ht="18" x14ac:dyDescent="0.25">
      <c r="B4" s="2" t="s">
        <v>1</v>
      </c>
    </row>
    <row r="8" spans="2:2" x14ac:dyDescent="0.25">
      <c r="B8" s="3" t="s">
        <v>2</v>
      </c>
    </row>
    <row r="10" spans="2:2" ht="30" x14ac:dyDescent="0.4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B13" sqref="B13"/>
    </sheetView>
  </sheetViews>
  <sheetFormatPr baseColWidth="10" defaultColWidth="8.7109375" defaultRowHeight="15" x14ac:dyDescent="0.25"/>
  <cols>
    <col min="1" max="1" width="2" customWidth="1"/>
    <col min="2" max="2" width="25" customWidth="1"/>
    <col min="3" max="3" width="113.28515625" bestFit="1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75" customHeight="1" x14ac:dyDescent="0.25">
      <c r="B5" s="10" t="s">
        <v>9</v>
      </c>
      <c r="C5" s="11" t="s">
        <v>193</v>
      </c>
    </row>
    <row r="6" spans="2:3" ht="21.75" customHeight="1" x14ac:dyDescent="0.25">
      <c r="B6" s="10" t="s">
        <v>10</v>
      </c>
      <c r="C6" s="11" t="s">
        <v>194</v>
      </c>
    </row>
    <row r="7" spans="2:3" ht="21.75" customHeight="1" x14ac:dyDescent="0.25">
      <c r="B7" s="10" t="s">
        <v>11</v>
      </c>
      <c r="C7" s="11" t="s">
        <v>12</v>
      </c>
    </row>
    <row r="8" spans="2:3" ht="21.75" customHeight="1" x14ac:dyDescent="0.25">
      <c r="B8" s="10" t="s">
        <v>13</v>
      </c>
      <c r="C8" s="11" t="s">
        <v>14</v>
      </c>
    </row>
    <row r="9" spans="2:3" ht="21.75" customHeight="1" x14ac:dyDescent="0.25">
      <c r="B9" s="10" t="s">
        <v>15</v>
      </c>
      <c r="C9" s="11" t="s">
        <v>16</v>
      </c>
    </row>
    <row r="10" spans="2:3" ht="21.75" customHeight="1" x14ac:dyDescent="0.25">
      <c r="B10" s="10" t="s">
        <v>17</v>
      </c>
      <c r="C10" s="11" t="s">
        <v>18</v>
      </c>
    </row>
    <row r="12" spans="2:3" x14ac:dyDescent="0.25">
      <c r="B12" s="12" t="s">
        <v>19</v>
      </c>
    </row>
    <row r="13" spans="2:3" x14ac:dyDescent="0.25">
      <c r="B13" s="7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tabSelected="1" zoomScaleNormal="100" workbookViewId="0">
      <selection activeCell="F18" sqref="F18"/>
    </sheetView>
  </sheetViews>
  <sheetFormatPr baseColWidth="10" defaultColWidth="8.7109375" defaultRowHeight="15" x14ac:dyDescent="0.25"/>
  <cols>
    <col min="1" max="1" width="53.42578125" bestFit="1" customWidth="1"/>
    <col min="2" max="2" width="72" customWidth="1"/>
    <col min="3" max="3" width="27.140625" bestFit="1" customWidth="1"/>
    <col min="4" max="4" width="22.140625" bestFit="1" customWidth="1"/>
    <col min="5" max="5" width="8.7109375" bestFit="1" customWidth="1"/>
  </cols>
  <sheetData>
    <row r="1" spans="1:5" ht="22.5" x14ac:dyDescent="0.3">
      <c r="A1" s="13" t="s">
        <v>21</v>
      </c>
    </row>
    <row r="2" spans="1:5" x14ac:dyDescent="0.25">
      <c r="A2" s="9" t="s">
        <v>22</v>
      </c>
    </row>
    <row r="4" spans="1:5" x14ac:dyDescent="0.25">
      <c r="A4" s="3" t="s">
        <v>23</v>
      </c>
      <c r="B4" s="9" t="s">
        <v>24</v>
      </c>
    </row>
    <row r="6" spans="1:5" ht="28.5" x14ac:dyDescent="0.25">
      <c r="A6" s="14" t="s">
        <v>25</v>
      </c>
      <c r="B6" s="14" t="s">
        <v>26</v>
      </c>
      <c r="C6" s="14" t="s">
        <v>27</v>
      </c>
      <c r="D6" s="14" t="s">
        <v>28</v>
      </c>
      <c r="E6" s="14" t="s">
        <v>29</v>
      </c>
    </row>
    <row r="7" spans="1:5" x14ac:dyDescent="0.25">
      <c r="A7" s="15" t="s">
        <v>30</v>
      </c>
      <c r="B7" s="16" t="s">
        <v>31</v>
      </c>
      <c r="C7" s="16" t="s">
        <v>32</v>
      </c>
      <c r="D7" s="16" t="s">
        <v>33</v>
      </c>
      <c r="E7" s="16">
        <f>SUMIF(Backlog!$B$10:$B$37,A7,Backlog!$F$10:$F$37)</f>
        <v>27</v>
      </c>
    </row>
    <row r="8" spans="1:5" x14ac:dyDescent="0.25">
      <c r="A8" s="15" t="s">
        <v>35</v>
      </c>
      <c r="B8" s="16" t="s">
        <v>36</v>
      </c>
      <c r="C8" s="16" t="s">
        <v>203</v>
      </c>
      <c r="D8" s="16" t="s">
        <v>37</v>
      </c>
      <c r="E8" s="16">
        <f>SUMIF(Backlog!$B$10:$B$37,A8,Backlog!$F$10:$F$37)</f>
        <v>18</v>
      </c>
    </row>
    <row r="9" spans="1:5" x14ac:dyDescent="0.25">
      <c r="A9" s="15" t="s">
        <v>38</v>
      </c>
      <c r="B9" s="16" t="s">
        <v>39</v>
      </c>
      <c r="C9" s="16" t="s">
        <v>40</v>
      </c>
      <c r="D9" s="16" t="s">
        <v>41</v>
      </c>
      <c r="E9" s="16">
        <f>SUMIF(Backlog!$B$10:$B$37,A9,Backlog!$F$10:$F$37)</f>
        <v>88</v>
      </c>
    </row>
    <row r="10" spans="1:5" x14ac:dyDescent="0.25">
      <c r="A10" s="15" t="s">
        <v>42</v>
      </c>
      <c r="B10" s="16" t="s">
        <v>43</v>
      </c>
      <c r="C10" s="16" t="s">
        <v>44</v>
      </c>
      <c r="D10" s="16" t="s">
        <v>45</v>
      </c>
      <c r="E10" s="16">
        <f>SUMIF(Backlog!$B$10:$B$37,A10,Backlog!$F$10:$F$37)</f>
        <v>22</v>
      </c>
    </row>
    <row r="11" spans="1:5" x14ac:dyDescent="0.25">
      <c r="A11" s="15" t="s">
        <v>46</v>
      </c>
      <c r="B11" s="16" t="s">
        <v>47</v>
      </c>
      <c r="C11" s="16" t="s">
        <v>48</v>
      </c>
      <c r="D11" s="16" t="s">
        <v>49</v>
      </c>
      <c r="E11" s="16">
        <f>SUMIF(Backlog!$B$10:$B$37,A11,Backlog!$F$10:$F$37)</f>
        <v>24</v>
      </c>
    </row>
    <row r="12" spans="1:5" x14ac:dyDescent="0.25">
      <c r="A12" s="15" t="s">
        <v>50</v>
      </c>
      <c r="B12" s="16" t="s">
        <v>51</v>
      </c>
      <c r="C12" s="16" t="s">
        <v>52</v>
      </c>
      <c r="D12" s="16" t="s">
        <v>53</v>
      </c>
      <c r="E12" s="16">
        <f>SUMIF(Backlog!$B$10:$B$37,A12,Backlog!$F$10:$F$37)</f>
        <v>10</v>
      </c>
    </row>
    <row r="13" spans="1:5" x14ac:dyDescent="0.25">
      <c r="E13">
        <f>SUM(E7:E12)</f>
        <v>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showGridLines="0" zoomScale="130" zoomScaleNormal="130" workbookViewId="0">
      <pane ySplit="9" topLeftCell="A22" activePane="bottomLeft" state="frozen"/>
      <selection pane="bottomLeft" activeCell="F37" sqref="F37"/>
    </sheetView>
  </sheetViews>
  <sheetFormatPr baseColWidth="10" defaultColWidth="8.7109375" defaultRowHeight="15" x14ac:dyDescent="0.25"/>
  <cols>
    <col min="1" max="1" width="64.28515625" bestFit="1" customWidth="1"/>
    <col min="2" max="2" width="8" customWidth="1"/>
    <col min="3" max="3" width="73.42578125" customWidth="1"/>
    <col min="4" max="4" width="14" bestFit="1" customWidth="1"/>
    <col min="5" max="5" width="56.140625" customWidth="1"/>
    <col min="6" max="6" width="6" customWidth="1"/>
    <col min="7" max="7" width="45.28515625" customWidth="1"/>
    <col min="8" max="9" width="6.42578125" customWidth="1"/>
    <col min="10" max="10" width="8.28515625" customWidth="1"/>
    <col min="11" max="11" width="10" customWidth="1"/>
  </cols>
  <sheetData>
    <row r="1" spans="1:11" ht="22.5" x14ac:dyDescent="0.3">
      <c r="A1" s="13" t="s">
        <v>54</v>
      </c>
    </row>
    <row r="2" spans="1:11" x14ac:dyDescent="0.25">
      <c r="A2" s="9" t="s">
        <v>55</v>
      </c>
    </row>
    <row r="4" spans="1:11" x14ac:dyDescent="0.25">
      <c r="A4" s="3" t="s">
        <v>23</v>
      </c>
      <c r="B4" s="9" t="s">
        <v>56</v>
      </c>
    </row>
    <row r="5" spans="1:11" x14ac:dyDescent="0.25">
      <c r="A5" s="3" t="s">
        <v>57</v>
      </c>
      <c r="B5" s="9" t="s">
        <v>58</v>
      </c>
    </row>
    <row r="6" spans="1:11" x14ac:dyDescent="0.25">
      <c r="A6" s="17" t="s">
        <v>59</v>
      </c>
      <c r="B6" s="9" t="s">
        <v>60</v>
      </c>
    </row>
    <row r="7" spans="1:11" x14ac:dyDescent="0.25">
      <c r="A7" s="18" t="s">
        <v>61</v>
      </c>
      <c r="B7" s="9" t="s">
        <v>62</v>
      </c>
    </row>
    <row r="9" spans="1:11" ht="28.5" x14ac:dyDescent="0.25">
      <c r="A9" s="29" t="s">
        <v>25</v>
      </c>
      <c r="B9" s="29" t="s">
        <v>26</v>
      </c>
      <c r="C9" s="29" t="s">
        <v>63</v>
      </c>
      <c r="D9" s="29" t="s">
        <v>64</v>
      </c>
      <c r="E9" s="29" t="s">
        <v>65</v>
      </c>
      <c r="F9" s="29" t="s">
        <v>66</v>
      </c>
      <c r="G9" s="29" t="s">
        <v>67</v>
      </c>
      <c r="H9" s="29" t="s">
        <v>68</v>
      </c>
      <c r="I9" s="29" t="s">
        <v>69</v>
      </c>
      <c r="J9" s="29" t="s">
        <v>70</v>
      </c>
      <c r="K9" s="29" t="s">
        <v>17</v>
      </c>
    </row>
    <row r="10" spans="1:11" ht="36" x14ac:dyDescent="0.25">
      <c r="A10" s="19" t="s">
        <v>71</v>
      </c>
      <c r="B10" s="20" t="s">
        <v>30</v>
      </c>
      <c r="C10" s="20" t="s">
        <v>72</v>
      </c>
      <c r="D10" s="20" t="s">
        <v>73</v>
      </c>
      <c r="E10" s="21" t="s">
        <v>74</v>
      </c>
      <c r="F10" s="20">
        <v>3</v>
      </c>
      <c r="G10" s="20" t="s">
        <v>75</v>
      </c>
      <c r="H10" s="20" t="s">
        <v>76</v>
      </c>
      <c r="I10" s="20" t="s">
        <v>76</v>
      </c>
      <c r="J10" s="20" t="s">
        <v>77</v>
      </c>
      <c r="K10" s="20" t="s">
        <v>78</v>
      </c>
    </row>
    <row r="11" spans="1:11" ht="36" x14ac:dyDescent="0.25">
      <c r="A11" s="19" t="s">
        <v>79</v>
      </c>
      <c r="B11" s="20" t="s">
        <v>35</v>
      </c>
      <c r="C11" s="20" t="s">
        <v>80</v>
      </c>
      <c r="D11" s="20" t="s">
        <v>73</v>
      </c>
      <c r="E11" s="21" t="s">
        <v>74</v>
      </c>
      <c r="F11" s="20">
        <v>5</v>
      </c>
      <c r="G11" s="20" t="s">
        <v>81</v>
      </c>
      <c r="H11" s="20" t="s">
        <v>76</v>
      </c>
      <c r="I11" s="20" t="s">
        <v>76</v>
      </c>
      <c r="J11" s="20" t="s">
        <v>77</v>
      </c>
      <c r="K11" s="20" t="s">
        <v>78</v>
      </c>
    </row>
    <row r="12" spans="1:11" ht="36" x14ac:dyDescent="0.25">
      <c r="A12" s="19" t="s">
        <v>82</v>
      </c>
      <c r="B12" s="20" t="s">
        <v>38</v>
      </c>
      <c r="C12" s="20" t="s">
        <v>83</v>
      </c>
      <c r="D12" s="20" t="s">
        <v>73</v>
      </c>
      <c r="E12" s="21" t="s">
        <v>74</v>
      </c>
      <c r="F12" s="20">
        <v>8</v>
      </c>
      <c r="G12" s="20" t="s">
        <v>84</v>
      </c>
      <c r="H12" s="20" t="s">
        <v>76</v>
      </c>
      <c r="I12" s="20" t="s">
        <v>76</v>
      </c>
      <c r="J12" s="20" t="s">
        <v>85</v>
      </c>
      <c r="K12" s="20" t="s">
        <v>78</v>
      </c>
    </row>
    <row r="13" spans="1:11" ht="48" x14ac:dyDescent="0.25">
      <c r="A13" s="19" t="s">
        <v>86</v>
      </c>
      <c r="B13" s="20" t="s">
        <v>42</v>
      </c>
      <c r="C13" s="20" t="s">
        <v>87</v>
      </c>
      <c r="D13" s="20" t="s">
        <v>73</v>
      </c>
      <c r="E13" s="21" t="s">
        <v>74</v>
      </c>
      <c r="F13" s="20">
        <v>3</v>
      </c>
      <c r="G13" s="20" t="s">
        <v>88</v>
      </c>
      <c r="H13" s="20" t="s">
        <v>76</v>
      </c>
      <c r="I13" s="20" t="s">
        <v>76</v>
      </c>
      <c r="J13" s="20" t="s">
        <v>89</v>
      </c>
      <c r="K13" s="20" t="s">
        <v>78</v>
      </c>
    </row>
    <row r="14" spans="1:11" ht="48" x14ac:dyDescent="0.25">
      <c r="A14" s="19" t="s">
        <v>90</v>
      </c>
      <c r="B14" s="20" t="s">
        <v>42</v>
      </c>
      <c r="C14" s="20" t="s">
        <v>91</v>
      </c>
      <c r="D14" s="20" t="s">
        <v>73</v>
      </c>
      <c r="E14" s="21" t="s">
        <v>74</v>
      </c>
      <c r="F14" s="20">
        <v>3</v>
      </c>
      <c r="G14" s="20" t="s">
        <v>92</v>
      </c>
      <c r="H14" s="20" t="s">
        <v>76</v>
      </c>
      <c r="I14" s="20" t="s">
        <v>76</v>
      </c>
      <c r="J14" s="20" t="s">
        <v>89</v>
      </c>
      <c r="K14" s="20" t="s">
        <v>78</v>
      </c>
    </row>
    <row r="15" spans="1:11" ht="48" x14ac:dyDescent="0.25">
      <c r="A15" s="19" t="s">
        <v>93</v>
      </c>
      <c r="B15" s="20" t="s">
        <v>46</v>
      </c>
      <c r="C15" s="20" t="s">
        <v>94</v>
      </c>
      <c r="D15" s="20" t="s">
        <v>73</v>
      </c>
      <c r="E15" s="21" t="s">
        <v>74</v>
      </c>
      <c r="F15" s="20">
        <v>3</v>
      </c>
      <c r="G15" s="20" t="s">
        <v>95</v>
      </c>
      <c r="H15" s="20" t="s">
        <v>76</v>
      </c>
      <c r="I15" s="20" t="s">
        <v>76</v>
      </c>
      <c r="J15" s="20" t="s">
        <v>96</v>
      </c>
      <c r="K15" s="20" t="s">
        <v>78</v>
      </c>
    </row>
    <row r="16" spans="1:11" ht="24" x14ac:dyDescent="0.25">
      <c r="A16" s="19" t="s">
        <v>97</v>
      </c>
      <c r="B16" s="20" t="s">
        <v>30</v>
      </c>
      <c r="C16" s="20" t="s">
        <v>98</v>
      </c>
      <c r="D16" s="20" t="s">
        <v>73</v>
      </c>
      <c r="E16" s="22" t="s">
        <v>99</v>
      </c>
      <c r="F16" s="20">
        <v>3</v>
      </c>
      <c r="G16" s="20" t="s">
        <v>100</v>
      </c>
      <c r="H16" s="20" t="s">
        <v>76</v>
      </c>
      <c r="I16" s="20" t="s">
        <v>76</v>
      </c>
      <c r="J16" s="20" t="s">
        <v>101</v>
      </c>
      <c r="K16" s="20" t="s">
        <v>102</v>
      </c>
    </row>
    <row r="17" spans="1:11" ht="24" x14ac:dyDescent="0.25">
      <c r="A17" s="19" t="s">
        <v>103</v>
      </c>
      <c r="B17" s="20" t="s">
        <v>35</v>
      </c>
      <c r="C17" s="20" t="s">
        <v>104</v>
      </c>
      <c r="D17" s="20" t="s">
        <v>73</v>
      </c>
      <c r="E17" s="22" t="s">
        <v>99</v>
      </c>
      <c r="F17" s="20">
        <v>5</v>
      </c>
      <c r="G17" s="20" t="s">
        <v>105</v>
      </c>
      <c r="H17" s="20" t="s">
        <v>76</v>
      </c>
      <c r="I17" s="20" t="s">
        <v>76</v>
      </c>
      <c r="J17" s="20" t="s">
        <v>101</v>
      </c>
      <c r="K17" s="20" t="s">
        <v>102</v>
      </c>
    </row>
    <row r="18" spans="1:11" ht="24" x14ac:dyDescent="0.25">
      <c r="A18" s="19" t="s">
        <v>106</v>
      </c>
      <c r="B18" s="20" t="s">
        <v>38</v>
      </c>
      <c r="C18" s="20" t="s">
        <v>107</v>
      </c>
      <c r="D18" s="20" t="s">
        <v>73</v>
      </c>
      <c r="E18" s="22" t="s">
        <v>99</v>
      </c>
      <c r="F18" s="20">
        <v>5</v>
      </c>
      <c r="G18" s="20" t="s">
        <v>108</v>
      </c>
      <c r="H18" s="20" t="s">
        <v>76</v>
      </c>
      <c r="I18" s="20" t="s">
        <v>76</v>
      </c>
      <c r="J18" s="20" t="s">
        <v>101</v>
      </c>
      <c r="K18" s="20" t="s">
        <v>102</v>
      </c>
    </row>
    <row r="19" spans="1:11" ht="24" x14ac:dyDescent="0.25">
      <c r="A19" s="19" t="s">
        <v>109</v>
      </c>
      <c r="B19" s="20" t="s">
        <v>42</v>
      </c>
      <c r="C19" s="20" t="s">
        <v>110</v>
      </c>
      <c r="D19" s="20" t="s">
        <v>73</v>
      </c>
      <c r="E19" s="22" t="s">
        <v>99</v>
      </c>
      <c r="F19" s="20">
        <v>3</v>
      </c>
      <c r="G19" s="20" t="s">
        <v>111</v>
      </c>
      <c r="H19" s="20" t="s">
        <v>76</v>
      </c>
      <c r="I19" s="20" t="s">
        <v>76</v>
      </c>
      <c r="J19" s="20" t="s">
        <v>112</v>
      </c>
      <c r="K19" s="20" t="s">
        <v>102</v>
      </c>
    </row>
    <row r="20" spans="1:11" ht="24" x14ac:dyDescent="0.25">
      <c r="A20" s="19" t="s">
        <v>113</v>
      </c>
      <c r="B20" s="20" t="s">
        <v>46</v>
      </c>
      <c r="C20" s="20" t="s">
        <v>114</v>
      </c>
      <c r="D20" s="20" t="s">
        <v>73</v>
      </c>
      <c r="E20" s="22" t="s">
        <v>99</v>
      </c>
      <c r="F20" s="20">
        <v>5</v>
      </c>
      <c r="G20" s="20" t="s">
        <v>115</v>
      </c>
      <c r="H20" s="20" t="s">
        <v>76</v>
      </c>
      <c r="I20" s="20" t="s">
        <v>76</v>
      </c>
      <c r="J20" s="20" t="s">
        <v>112</v>
      </c>
      <c r="K20" s="20" t="s">
        <v>102</v>
      </c>
    </row>
    <row r="21" spans="1:11" ht="24" x14ac:dyDescent="0.25">
      <c r="A21" s="19" t="s">
        <v>116</v>
      </c>
      <c r="B21" s="20" t="s">
        <v>50</v>
      </c>
      <c r="C21" s="20" t="s">
        <v>117</v>
      </c>
      <c r="D21" s="20" t="s">
        <v>118</v>
      </c>
      <c r="E21" s="22" t="s">
        <v>99</v>
      </c>
      <c r="F21" s="20">
        <v>5</v>
      </c>
      <c r="G21" s="20" t="s">
        <v>119</v>
      </c>
      <c r="H21" s="20" t="s">
        <v>76</v>
      </c>
      <c r="I21" s="20" t="s">
        <v>76</v>
      </c>
      <c r="J21" s="20" t="s">
        <v>120</v>
      </c>
      <c r="K21" s="20" t="s">
        <v>102</v>
      </c>
    </row>
    <row r="22" spans="1:11" ht="24" x14ac:dyDescent="0.25">
      <c r="A22" s="19" t="s">
        <v>121</v>
      </c>
      <c r="B22" s="20" t="s">
        <v>30</v>
      </c>
      <c r="C22" s="20" t="s">
        <v>122</v>
      </c>
      <c r="D22" s="20" t="s">
        <v>73</v>
      </c>
      <c r="E22" s="23" t="s">
        <v>123</v>
      </c>
      <c r="F22" s="20">
        <v>5</v>
      </c>
      <c r="G22" s="20" t="s">
        <v>124</v>
      </c>
      <c r="H22" s="20" t="s">
        <v>76</v>
      </c>
      <c r="I22" s="20" t="s">
        <v>76</v>
      </c>
      <c r="J22" s="20" t="s">
        <v>34</v>
      </c>
      <c r="K22" s="20" t="s">
        <v>102</v>
      </c>
    </row>
    <row r="23" spans="1:11" ht="24" x14ac:dyDescent="0.25">
      <c r="A23" s="19" t="s">
        <v>125</v>
      </c>
      <c r="B23" s="20" t="s">
        <v>35</v>
      </c>
      <c r="C23" s="20" t="s">
        <v>126</v>
      </c>
      <c r="D23" s="20" t="s">
        <v>73</v>
      </c>
      <c r="E23" s="23" t="s">
        <v>123</v>
      </c>
      <c r="F23" s="20">
        <v>8</v>
      </c>
      <c r="G23" s="20" t="s">
        <v>127</v>
      </c>
      <c r="H23" s="20" t="s">
        <v>76</v>
      </c>
      <c r="I23" s="20" t="s">
        <v>76</v>
      </c>
      <c r="J23" s="20" t="s">
        <v>34</v>
      </c>
      <c r="K23" s="20" t="s">
        <v>102</v>
      </c>
    </row>
    <row r="24" spans="1:11" ht="24" x14ac:dyDescent="0.25">
      <c r="A24" s="19" t="s">
        <v>128</v>
      </c>
      <c r="B24" s="20" t="s">
        <v>38</v>
      </c>
      <c r="C24" s="20" t="s">
        <v>129</v>
      </c>
      <c r="D24" s="20" t="s">
        <v>130</v>
      </c>
      <c r="E24" s="23" t="s">
        <v>123</v>
      </c>
      <c r="F24" s="20">
        <v>13</v>
      </c>
      <c r="G24" s="20" t="s">
        <v>131</v>
      </c>
      <c r="H24" s="20" t="s">
        <v>76</v>
      </c>
      <c r="I24" s="20" t="s">
        <v>76</v>
      </c>
      <c r="J24" s="20" t="s">
        <v>34</v>
      </c>
      <c r="K24" s="20" t="s">
        <v>102</v>
      </c>
    </row>
    <row r="25" spans="1:11" ht="24" x14ac:dyDescent="0.25">
      <c r="A25" s="19" t="s">
        <v>132</v>
      </c>
      <c r="B25" s="20" t="s">
        <v>46</v>
      </c>
      <c r="C25" s="20" t="s">
        <v>133</v>
      </c>
      <c r="D25" s="20" t="s">
        <v>73</v>
      </c>
      <c r="E25" s="23" t="s">
        <v>123</v>
      </c>
      <c r="F25" s="20">
        <v>8</v>
      </c>
      <c r="G25" s="20" t="s">
        <v>134</v>
      </c>
      <c r="H25" s="20" t="s">
        <v>76</v>
      </c>
      <c r="I25" s="20" t="s">
        <v>76</v>
      </c>
      <c r="J25" s="20" t="s">
        <v>34</v>
      </c>
      <c r="K25" s="20" t="s">
        <v>102</v>
      </c>
    </row>
    <row r="26" spans="1:11" ht="24" x14ac:dyDescent="0.25">
      <c r="A26" s="19" t="s">
        <v>135</v>
      </c>
      <c r="B26" s="20" t="s">
        <v>50</v>
      </c>
      <c r="C26" s="20" t="s">
        <v>136</v>
      </c>
      <c r="D26" s="20" t="s">
        <v>118</v>
      </c>
      <c r="E26" s="23" t="s">
        <v>123</v>
      </c>
      <c r="F26" s="20">
        <v>5</v>
      </c>
      <c r="G26" s="20" t="s">
        <v>137</v>
      </c>
      <c r="H26" s="20" t="s">
        <v>76</v>
      </c>
      <c r="I26" s="20" t="s">
        <v>76</v>
      </c>
      <c r="J26" s="20" t="s">
        <v>34</v>
      </c>
      <c r="K26" s="20" t="s">
        <v>102</v>
      </c>
    </row>
    <row r="27" spans="1:11" ht="24" x14ac:dyDescent="0.25">
      <c r="A27" s="19" t="s">
        <v>138</v>
      </c>
      <c r="B27" s="20" t="s">
        <v>30</v>
      </c>
      <c r="C27" s="20" t="s">
        <v>139</v>
      </c>
      <c r="D27" s="20" t="s">
        <v>140</v>
      </c>
      <c r="E27" s="24" t="s">
        <v>141</v>
      </c>
      <c r="F27" s="20">
        <v>13</v>
      </c>
      <c r="G27" s="20" t="s">
        <v>142</v>
      </c>
      <c r="H27" s="20" t="s">
        <v>34</v>
      </c>
      <c r="I27" s="20" t="s">
        <v>34</v>
      </c>
      <c r="J27" s="20" t="s">
        <v>34</v>
      </c>
      <c r="K27" s="20" t="s">
        <v>143</v>
      </c>
    </row>
    <row r="28" spans="1:11" ht="24" x14ac:dyDescent="0.25">
      <c r="A28" s="19" t="s">
        <v>144</v>
      </c>
      <c r="B28" s="20" t="s">
        <v>38</v>
      </c>
      <c r="C28" s="20" t="s">
        <v>145</v>
      </c>
      <c r="D28" s="20" t="s">
        <v>73</v>
      </c>
      <c r="E28" s="24" t="s">
        <v>141</v>
      </c>
      <c r="F28" s="20">
        <v>21</v>
      </c>
      <c r="G28" s="20" t="s">
        <v>146</v>
      </c>
      <c r="H28" s="20" t="s">
        <v>34</v>
      </c>
      <c r="I28" s="20" t="s">
        <v>34</v>
      </c>
      <c r="J28" s="20" t="s">
        <v>34</v>
      </c>
      <c r="K28" s="20" t="s">
        <v>143</v>
      </c>
    </row>
    <row r="29" spans="1:11" ht="24.75" thickBot="1" x14ac:dyDescent="0.3">
      <c r="A29" s="19" t="s">
        <v>147</v>
      </c>
      <c r="B29" s="20" t="s">
        <v>42</v>
      </c>
      <c r="C29" s="20" t="s">
        <v>148</v>
      </c>
      <c r="D29" s="20" t="s">
        <v>73</v>
      </c>
      <c r="E29" s="24" t="s">
        <v>141</v>
      </c>
      <c r="F29" s="20">
        <v>13</v>
      </c>
      <c r="G29" s="20" t="s">
        <v>149</v>
      </c>
      <c r="H29" s="20" t="s">
        <v>34</v>
      </c>
      <c r="I29" s="20" t="s">
        <v>34</v>
      </c>
      <c r="J29" s="20" t="s">
        <v>34</v>
      </c>
      <c r="K29" s="20" t="s">
        <v>143</v>
      </c>
    </row>
    <row r="30" spans="1:11" ht="48.75" thickBot="1" x14ac:dyDescent="0.3">
      <c r="A30" s="19" t="s">
        <v>195</v>
      </c>
      <c r="B30" s="20" t="s">
        <v>30</v>
      </c>
      <c r="C30" s="20" t="s">
        <v>205</v>
      </c>
      <c r="D30" s="20" t="s">
        <v>130</v>
      </c>
      <c r="E30" s="33" t="s">
        <v>74</v>
      </c>
      <c r="F30" s="20">
        <v>3</v>
      </c>
      <c r="G30" s="20" t="s">
        <v>206</v>
      </c>
      <c r="H30" s="20" t="s">
        <v>207</v>
      </c>
      <c r="I30" s="20" t="s">
        <v>207</v>
      </c>
      <c r="J30" s="20" t="s">
        <v>77</v>
      </c>
      <c r="K30" s="20" t="s">
        <v>78</v>
      </c>
    </row>
    <row r="31" spans="1:11" ht="60.75" thickBot="1" x14ac:dyDescent="0.3">
      <c r="A31" s="19" t="s">
        <v>196</v>
      </c>
      <c r="B31" s="20" t="s">
        <v>38</v>
      </c>
      <c r="C31" s="20" t="s">
        <v>198</v>
      </c>
      <c r="D31" s="20" t="s">
        <v>130</v>
      </c>
      <c r="E31" s="34" t="s">
        <v>74</v>
      </c>
      <c r="F31" s="20">
        <v>5</v>
      </c>
      <c r="G31" s="20" t="s">
        <v>208</v>
      </c>
      <c r="H31" s="20" t="s">
        <v>207</v>
      </c>
      <c r="I31" s="20" t="s">
        <v>207</v>
      </c>
      <c r="J31" s="20" t="s">
        <v>85</v>
      </c>
      <c r="K31" s="20" t="s">
        <v>78</v>
      </c>
    </row>
    <row r="32" spans="1:11" ht="36.75" thickBot="1" x14ac:dyDescent="0.3">
      <c r="A32" s="19" t="s">
        <v>197</v>
      </c>
      <c r="B32" s="20" t="s">
        <v>38</v>
      </c>
      <c r="C32" s="20" t="s">
        <v>209</v>
      </c>
      <c r="D32" s="20" t="s">
        <v>130</v>
      </c>
      <c r="E32" s="35" t="s">
        <v>123</v>
      </c>
      <c r="F32" s="20">
        <v>8</v>
      </c>
      <c r="G32" s="20" t="s">
        <v>210</v>
      </c>
      <c r="H32" s="20" t="s">
        <v>207</v>
      </c>
      <c r="I32" s="20" t="s">
        <v>207</v>
      </c>
      <c r="J32" s="20" t="s">
        <v>112</v>
      </c>
      <c r="K32" s="20" t="s">
        <v>102</v>
      </c>
    </row>
    <row r="33" spans="1:11" ht="60.75" thickBot="1" x14ac:dyDescent="0.3">
      <c r="A33" s="19" t="s">
        <v>199</v>
      </c>
      <c r="B33" s="20" t="s">
        <v>38</v>
      </c>
      <c r="C33" s="20" t="s">
        <v>202</v>
      </c>
      <c r="D33" s="20" t="s">
        <v>130</v>
      </c>
      <c r="E33" s="34" t="s">
        <v>74</v>
      </c>
      <c r="F33" s="20">
        <v>5</v>
      </c>
      <c r="G33" s="20" t="s">
        <v>211</v>
      </c>
      <c r="H33" s="20" t="s">
        <v>207</v>
      </c>
      <c r="I33" s="20" t="s">
        <v>207</v>
      </c>
      <c r="J33" s="20" t="s">
        <v>89</v>
      </c>
      <c r="K33" s="20" t="s">
        <v>78</v>
      </c>
    </row>
    <row r="34" spans="1:11" ht="36.75" thickBot="1" x14ac:dyDescent="0.3">
      <c r="A34" s="19" t="s">
        <v>200</v>
      </c>
      <c r="B34" s="20" t="s">
        <v>38</v>
      </c>
      <c r="C34" s="20" t="s">
        <v>204</v>
      </c>
      <c r="D34" s="20" t="s">
        <v>130</v>
      </c>
      <c r="E34" s="35" t="s">
        <v>123</v>
      </c>
      <c r="F34" s="20">
        <v>13</v>
      </c>
      <c r="G34" s="20" t="s">
        <v>212</v>
      </c>
      <c r="H34" s="20" t="s">
        <v>207</v>
      </c>
      <c r="I34" s="20" t="s">
        <v>207</v>
      </c>
      <c r="J34" s="20" t="s">
        <v>34</v>
      </c>
      <c r="K34" s="20" t="s">
        <v>102</v>
      </c>
    </row>
    <row r="35" spans="1:11" ht="36.75" thickBot="1" x14ac:dyDescent="0.3">
      <c r="A35" s="19" t="s">
        <v>201</v>
      </c>
      <c r="B35" s="20" t="s">
        <v>38</v>
      </c>
      <c r="C35" s="20" t="s">
        <v>213</v>
      </c>
      <c r="D35" s="20" t="s">
        <v>130</v>
      </c>
      <c r="E35" s="36" t="s">
        <v>99</v>
      </c>
      <c r="F35" s="20">
        <v>5</v>
      </c>
      <c r="G35" s="20" t="s">
        <v>214</v>
      </c>
      <c r="H35" s="20" t="s">
        <v>207</v>
      </c>
      <c r="I35" s="20" t="s">
        <v>207</v>
      </c>
      <c r="J35" s="20" t="s">
        <v>96</v>
      </c>
      <c r="K35" s="20" t="s">
        <v>102</v>
      </c>
    </row>
    <row r="36" spans="1:11" ht="36.75" thickBot="1" x14ac:dyDescent="0.3">
      <c r="A36" s="19" t="s">
        <v>215</v>
      </c>
      <c r="B36" s="20" t="s">
        <v>38</v>
      </c>
      <c r="C36" s="20" t="s">
        <v>216</v>
      </c>
      <c r="D36" s="20" t="s">
        <v>130</v>
      </c>
      <c r="E36" s="36" t="s">
        <v>99</v>
      </c>
      <c r="F36" s="20">
        <v>5</v>
      </c>
      <c r="G36" s="20" t="s">
        <v>217</v>
      </c>
      <c r="H36" s="20" t="s">
        <v>207</v>
      </c>
      <c r="I36" s="20" t="s">
        <v>207</v>
      </c>
      <c r="J36" s="20" t="s">
        <v>120</v>
      </c>
      <c r="K36" s="20" t="s">
        <v>102</v>
      </c>
    </row>
    <row r="37" spans="1:11" ht="48.75" thickBot="1" x14ac:dyDescent="0.3">
      <c r="A37" s="37" t="s">
        <v>218</v>
      </c>
      <c r="B37" s="38" t="s">
        <v>46</v>
      </c>
      <c r="C37" s="38" t="s">
        <v>219</v>
      </c>
      <c r="D37" s="38" t="s">
        <v>130</v>
      </c>
      <c r="E37" s="39" t="s">
        <v>99</v>
      </c>
      <c r="F37" s="20">
        <v>8</v>
      </c>
      <c r="G37" s="20" t="s">
        <v>220</v>
      </c>
      <c r="H37" s="20" t="s">
        <v>207</v>
      </c>
      <c r="I37" s="20" t="s">
        <v>207</v>
      </c>
      <c r="J37" s="20" t="s">
        <v>120</v>
      </c>
      <c r="K37" s="20" t="s">
        <v>102</v>
      </c>
    </row>
    <row r="38" spans="1:11" x14ac:dyDescent="0.25">
      <c r="A38" s="30" t="s">
        <v>150</v>
      </c>
      <c r="B38" s="31"/>
      <c r="C38" s="31"/>
      <c r="D38" s="31"/>
      <c r="E38" s="31"/>
      <c r="F38" s="30">
        <f>SUM(F10:F37)</f>
        <v>189</v>
      </c>
      <c r="G38" s="32" t="s">
        <v>151</v>
      </c>
      <c r="H38" s="31"/>
      <c r="I38" s="31"/>
      <c r="J38" s="31"/>
      <c r="K38" s="31"/>
    </row>
  </sheetData>
  <phoneticPr fontId="24" type="noConversion"/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3FB6821-1B8D-4C07-BAB3-C876BD7F8E42}">
          <x14:formula1>
            <xm:f>Epics!$A$7:$A$12</xm:f>
          </x14:formula1>
          <xm:sqref>B10:B29 B38</xm:sqref>
        </x14:dataValidation>
        <x14:dataValidation type="list" allowBlank="1" showInputMessage="1" showErrorMessage="1" xr:uid="{0A1D47D6-70F6-44A9-8158-369CEE2E8C56}">
          <x14:formula1>
            <xm:f>'Base de donnée '!$A$2:$A$5</xm:f>
          </x14:formula1>
          <xm:sqref>D10:D29 D38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zoomScaleNormal="100" workbookViewId="0"/>
  </sheetViews>
  <sheetFormatPr baseColWidth="10" defaultColWidth="8.7109375" defaultRowHeight="15" x14ac:dyDescent="0.25"/>
  <cols>
    <col min="1" max="1" width="95" customWidth="1"/>
  </cols>
  <sheetData>
    <row r="1" spans="1:1" ht="22.5" x14ac:dyDescent="0.3">
      <c r="A1" s="13" t="s">
        <v>152</v>
      </c>
    </row>
    <row r="2" spans="1:1" x14ac:dyDescent="0.25">
      <c r="A2" s="9" t="s">
        <v>153</v>
      </c>
    </row>
    <row r="4" spans="1:1" ht="18" x14ac:dyDescent="0.25">
      <c r="A4" s="25" t="s">
        <v>154</v>
      </c>
    </row>
    <row r="5" spans="1:1" x14ac:dyDescent="0.25">
      <c r="A5" s="9" t="s">
        <v>155</v>
      </c>
    </row>
    <row r="7" spans="1:1" x14ac:dyDescent="0.25">
      <c r="A7" s="26" t="s">
        <v>156</v>
      </c>
    </row>
    <row r="8" spans="1:1" x14ac:dyDescent="0.25">
      <c r="A8" s="26" t="s">
        <v>157</v>
      </c>
    </row>
    <row r="9" spans="1:1" x14ac:dyDescent="0.25">
      <c r="A9" s="26" t="s">
        <v>158</v>
      </c>
    </row>
    <row r="10" spans="1:1" x14ac:dyDescent="0.25">
      <c r="A10" s="26" t="s">
        <v>159</v>
      </c>
    </row>
    <row r="11" spans="1:1" x14ac:dyDescent="0.25">
      <c r="A11" s="26" t="s">
        <v>160</v>
      </c>
    </row>
    <row r="12" spans="1:1" x14ac:dyDescent="0.25">
      <c r="A12" s="26" t="s">
        <v>161</v>
      </c>
    </row>
    <row r="13" spans="1:1" x14ac:dyDescent="0.25">
      <c r="A13" s="26" t="s">
        <v>162</v>
      </c>
    </row>
    <row r="14" spans="1:1" x14ac:dyDescent="0.25">
      <c r="A14" s="26" t="s">
        <v>163</v>
      </c>
    </row>
    <row r="17" spans="1:1" ht="18" x14ac:dyDescent="0.25">
      <c r="A17" s="25" t="s">
        <v>164</v>
      </c>
    </row>
    <row r="18" spans="1:1" x14ac:dyDescent="0.25">
      <c r="A18" s="9" t="s">
        <v>165</v>
      </c>
    </row>
    <row r="20" spans="1:1" x14ac:dyDescent="0.25">
      <c r="A20" s="26" t="s">
        <v>166</v>
      </c>
    </row>
    <row r="21" spans="1:1" x14ac:dyDescent="0.25">
      <c r="A21" s="26" t="s">
        <v>167</v>
      </c>
    </row>
    <row r="22" spans="1:1" x14ac:dyDescent="0.25">
      <c r="A22" s="26" t="s">
        <v>168</v>
      </c>
    </row>
    <row r="23" spans="1:1" x14ac:dyDescent="0.25">
      <c r="A23" s="26" t="s">
        <v>169</v>
      </c>
    </row>
    <row r="24" spans="1:1" x14ac:dyDescent="0.25">
      <c r="A24" s="26" t="s">
        <v>170</v>
      </c>
    </row>
    <row r="25" spans="1:1" x14ac:dyDescent="0.25">
      <c r="A25" s="26" t="s">
        <v>171</v>
      </c>
    </row>
    <row r="26" spans="1:1" x14ac:dyDescent="0.25">
      <c r="A26" s="26" t="s">
        <v>172</v>
      </c>
    </row>
    <row r="27" spans="1:1" x14ac:dyDescent="0.25">
      <c r="A27" s="26" t="s">
        <v>173</v>
      </c>
    </row>
    <row r="28" spans="1:1" x14ac:dyDescent="0.25">
      <c r="A28" s="26" t="s">
        <v>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zoomScaleNormal="100" workbookViewId="0">
      <selection activeCell="C21" sqref="C21"/>
    </sheetView>
  </sheetViews>
  <sheetFormatPr baseColWidth="10" defaultColWidth="8.7109375" defaultRowHeight="15" x14ac:dyDescent="0.25"/>
  <cols>
    <col min="1" max="1" width="2" customWidth="1"/>
    <col min="2" max="2" width="73.140625" customWidth="1"/>
    <col min="3" max="3" width="25" customWidth="1"/>
    <col min="4" max="4" width="40" customWidth="1"/>
  </cols>
  <sheetData>
    <row r="2" spans="1:4" ht="18" x14ac:dyDescent="0.25">
      <c r="B2" s="2" t="s">
        <v>175</v>
      </c>
    </row>
    <row r="3" spans="1:4" x14ac:dyDescent="0.25">
      <c r="B3" s="9" t="s">
        <v>176</v>
      </c>
    </row>
    <row r="5" spans="1:4" x14ac:dyDescent="0.25">
      <c r="A5" s="14"/>
      <c r="B5" s="14" t="s">
        <v>177</v>
      </c>
      <c r="C5" s="14" t="s">
        <v>178</v>
      </c>
      <c r="D5" t="s">
        <v>179</v>
      </c>
    </row>
    <row r="6" spans="1:4" x14ac:dyDescent="0.25">
      <c r="B6" s="27" t="s">
        <v>180</v>
      </c>
      <c r="C6" s="28" t="s">
        <v>181</v>
      </c>
      <c r="D6" s="27" t="s">
        <v>182</v>
      </c>
    </row>
    <row r="7" spans="1:4" x14ac:dyDescent="0.25">
      <c r="B7" s="27" t="s">
        <v>183</v>
      </c>
      <c r="C7" s="28" t="s">
        <v>181</v>
      </c>
      <c r="D7" s="27" t="s">
        <v>182</v>
      </c>
    </row>
    <row r="8" spans="1:4" x14ac:dyDescent="0.25">
      <c r="B8" s="27" t="s">
        <v>184</v>
      </c>
      <c r="C8" s="28" t="s">
        <v>181</v>
      </c>
      <c r="D8" s="27" t="s">
        <v>182</v>
      </c>
    </row>
    <row r="9" spans="1:4" x14ac:dyDescent="0.25">
      <c r="B9" s="27" t="s">
        <v>185</v>
      </c>
      <c r="C9" s="28" t="s">
        <v>181</v>
      </c>
      <c r="D9" s="27" t="s">
        <v>182</v>
      </c>
    </row>
    <row r="10" spans="1:4" x14ac:dyDescent="0.25">
      <c r="B10" s="27" t="s">
        <v>186</v>
      </c>
      <c r="C10" s="28" t="s">
        <v>181</v>
      </c>
      <c r="D10" s="27" t="s">
        <v>182</v>
      </c>
    </row>
    <row r="11" spans="1:4" x14ac:dyDescent="0.25">
      <c r="B11" s="27" t="s">
        <v>187</v>
      </c>
      <c r="C11" s="28" t="s">
        <v>181</v>
      </c>
      <c r="D11" s="27" t="s">
        <v>182</v>
      </c>
    </row>
    <row r="12" spans="1:4" x14ac:dyDescent="0.25">
      <c r="B12" s="27" t="s">
        <v>188</v>
      </c>
      <c r="C12" s="28" t="s">
        <v>181</v>
      </c>
      <c r="D12" s="27" t="s">
        <v>182</v>
      </c>
    </row>
    <row r="13" spans="1:4" x14ac:dyDescent="0.25">
      <c r="B13" s="27" t="s">
        <v>189</v>
      </c>
      <c r="C13" s="28" t="s">
        <v>181</v>
      </c>
      <c r="D13" s="27" t="s">
        <v>182</v>
      </c>
    </row>
    <row r="14" spans="1:4" x14ac:dyDescent="0.25">
      <c r="B14" s="27" t="s">
        <v>190</v>
      </c>
      <c r="C14" s="28" t="s">
        <v>191</v>
      </c>
      <c r="D14" s="27"/>
    </row>
    <row r="15" spans="1:4" x14ac:dyDescent="0.25">
      <c r="B15" s="27" t="s">
        <v>192</v>
      </c>
      <c r="C15" s="28" t="s">
        <v>191</v>
      </c>
      <c r="D15" s="2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C20E-7041-43C0-8A97-2916AE5498E7}">
  <dimension ref="A2:B5"/>
  <sheetViews>
    <sheetView workbookViewId="0">
      <selection activeCell="K87" sqref="K87"/>
    </sheetView>
  </sheetViews>
  <sheetFormatPr baseColWidth="10" defaultRowHeight="15" x14ac:dyDescent="0.25"/>
  <cols>
    <col min="1" max="1" width="23.85546875" customWidth="1"/>
  </cols>
  <sheetData>
    <row r="2" spans="1:2" x14ac:dyDescent="0.25">
      <c r="A2" t="s">
        <v>73</v>
      </c>
      <c r="B2" t="s">
        <v>74</v>
      </c>
    </row>
    <row r="3" spans="1:2" x14ac:dyDescent="0.25">
      <c r="A3" t="s">
        <v>118</v>
      </c>
      <c r="B3" t="s">
        <v>99</v>
      </c>
    </row>
    <row r="4" spans="1:2" x14ac:dyDescent="0.25">
      <c r="A4" t="s">
        <v>140</v>
      </c>
      <c r="B4" t="s">
        <v>123</v>
      </c>
    </row>
    <row r="5" spans="1:2" x14ac:dyDescent="0.25">
      <c r="A5" t="s">
        <v>130</v>
      </c>
      <c r="B5" t="s">
        <v>141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Garde</vt:lpstr>
      <vt:lpstr>Identification</vt:lpstr>
      <vt:lpstr>Epics</vt:lpstr>
      <vt:lpstr>Backlog</vt:lpstr>
      <vt:lpstr>DoR &amp; DoD</vt:lpstr>
      <vt:lpstr>Auto-évaluation</vt:lpstr>
      <vt:lpstr>Base de donnée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Sebastien GERARD</cp:lastModifiedBy>
  <cp:revision>0</cp:revision>
  <dcterms:created xsi:type="dcterms:W3CDTF">2026-06-25T22:39:08Z</dcterms:created>
  <dcterms:modified xsi:type="dcterms:W3CDTF">2026-06-29T14:38:58Z</dcterms:modified>
  <dc:language>en-US</dc:language>
</cp:coreProperties>
</file>