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tApo\IPSSI_APOCAL_KIT_13\docs\Cadrage projet\perturbation J3\"/>
    </mc:Choice>
  </mc:AlternateContent>
  <xr:revisionPtr revIDLastSave="0" documentId="8_{E090213B-DBFB-43D3-BB77-24DDB5C6BEBD}" xr6:coauthVersionLast="47" xr6:coauthVersionMax="47" xr10:uidLastSave="{00000000-0000-0000-0000-000000000000}"/>
  <bookViews>
    <workbookView xWindow="-108" yWindow="-108" windowWidth="23256" windowHeight="13176" tabRatio="500" activeTab="2" xr2:uid="{00000000-000D-0000-FFFF-FFFF00000000}"/>
  </bookViews>
  <sheets>
    <sheet name="Garde" sheetId="1" r:id="rId1"/>
    <sheet name="Identification" sheetId="2" r:id="rId2"/>
    <sheet name="Sprint" sheetId="3" r:id="rId3"/>
    <sheet name="Burndown Sprint" sheetId="4" r:id="rId4"/>
    <sheet name="Auto-évaluation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7" i="4" l="1"/>
  <c r="D16" i="4"/>
  <c r="D15" i="4"/>
  <c r="D14" i="4"/>
  <c r="D13" i="4"/>
  <c r="F110" i="3"/>
  <c r="F111" i="3" s="1"/>
  <c r="E110" i="3"/>
  <c r="E111" i="3" s="1"/>
  <c r="E97" i="3"/>
  <c r="E81" i="3"/>
  <c r="E69" i="3"/>
  <c r="E60" i="3"/>
  <c r="E47" i="3"/>
  <c r="F34" i="3"/>
  <c r="E34" i="3"/>
  <c r="S33" i="3"/>
  <c r="R33" i="3"/>
  <c r="Q33" i="3"/>
  <c r="P33" i="3"/>
  <c r="O33" i="3"/>
  <c r="N33" i="3"/>
  <c r="M33" i="3"/>
  <c r="S32" i="3"/>
  <c r="R32" i="3"/>
  <c r="Q32" i="3"/>
  <c r="P32" i="3"/>
  <c r="O32" i="3"/>
  <c r="N32" i="3"/>
  <c r="M32" i="3"/>
  <c r="S31" i="3"/>
  <c r="R31" i="3"/>
  <c r="Q31" i="3"/>
  <c r="P31" i="3"/>
  <c r="O31" i="3"/>
  <c r="N31" i="3"/>
  <c r="M31" i="3"/>
  <c r="S30" i="3"/>
  <c r="R30" i="3"/>
  <c r="Q30" i="3"/>
  <c r="P30" i="3"/>
  <c r="O30" i="3"/>
  <c r="N30" i="3"/>
  <c r="M30" i="3"/>
  <c r="S29" i="3"/>
  <c r="R29" i="3"/>
  <c r="Q29" i="3"/>
  <c r="P29" i="3"/>
  <c r="O29" i="3"/>
  <c r="N29" i="3"/>
  <c r="M29" i="3"/>
  <c r="S28" i="3"/>
  <c r="R28" i="3"/>
  <c r="Q28" i="3"/>
  <c r="P28" i="3"/>
  <c r="O28" i="3"/>
  <c r="N28" i="3"/>
  <c r="M28" i="3"/>
  <c r="S27" i="3"/>
  <c r="R27" i="3"/>
  <c r="Q27" i="3"/>
  <c r="P27" i="3"/>
  <c r="O27" i="3"/>
  <c r="N27" i="3"/>
  <c r="M27" i="3"/>
  <c r="D11" i="4"/>
  <c r="B10" i="4"/>
  <c r="B9" i="4"/>
  <c r="D9" i="4"/>
  <c r="D10" i="4" l="1"/>
  <c r="D12" i="4"/>
</calcChain>
</file>

<file path=xl/sharedStrings.xml><?xml version="1.0" encoding="utf-8"?>
<sst xmlns="http://schemas.openxmlformats.org/spreadsheetml/2006/main" count="619" uniqueCount="346">
  <si>
    <t>A</t>
  </si>
  <si>
    <t>APOCAL'IPSSI</t>
  </si>
  <si>
    <t>CADRAGE MATINAL · ARTEFACT 7 SUR 7</t>
  </si>
  <si>
    <t>Sprint Backlog</t>
  </si>
  <si>
    <t>Décomposition technique du Sprint 1 d'EduTutor IA (lundi 14h-18h)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</si>
  <si>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</si>
  <si>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</si>
  <si>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</si>
  <si>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</si>
  <si>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</si>
  <si>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</si>
  <si>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Sprint concerné</t>
  </si>
  <si>
    <t>Cadrage</t>
  </si>
  <si>
    <t>Version</t>
  </si>
  <si>
    <t>Date de remise</t>
  </si>
  <si>
    <t>Statut</t>
  </si>
  <si>
    <t>Draft</t>
  </si>
  <si>
    <t>💡 Convention de nommage du fichier :</t>
  </si>
  <si>
    <t>equipe-XX-nom-document-vY.Z.xlsx  (ex. equipe-03-product-backlog-v1.0.xlsx)</t>
  </si>
  <si>
    <t>SPRINT BACKLOG : SPRINT 1</t>
  </si>
  <si>
    <t>Lundi PM 14h00 – 18h00 · 28 h-pers · objectif F1+F2 (compte + upload)</t>
  </si>
  <si>
    <t>📋 MÉTADONNÉES DU SPRINT</t>
  </si>
  <si>
    <t>Numéro de sprint</t>
  </si>
  <si>
    <t>Sprint 1</t>
  </si>
  <si>
    <t>Date</t>
  </si>
  <si>
    <t>Lundi 29/06/2026, 14h00 à 18h00 (4 h/personne)</t>
  </si>
  <si>
    <t>Équipe (n personnes)</t>
  </si>
  <si>
    <t>7 personnes</t>
  </si>
  <si>
    <t>Capacité totale</t>
  </si>
  <si>
    <t>7 × 4 h = 28 h-pers</t>
  </si>
  <si>
    <t>Vélocité cible (SP)</t>
  </si>
  <si>
    <t>8 à 10 SP (US-01 = 3 SP, US-02 = 5 SP)</t>
  </si>
  <si>
    <t>Objectif sprint</t>
  </si>
  <si>
    <t>Démarrer les features F1 (inscription) et F2 (upload cours), démontrable en Sprint Review 18h</t>
  </si>
  <si>
    <t>Scrum Master</t>
  </si>
  <si>
    <t>Product Owner</t>
  </si>
  <si>
    <t>💡 OBJECTIF</t>
  </si>
  <si>
    <t>Décomposer chaque story tirée du Product Backlog en tâches techniques fines (1-3h), avec assignation et estimation. Mis à jour en daily.</t>
  </si>
  <si>
    <t>📐 FORMAT</t>
  </si>
  <si>
    <t>3 à 5 tâches par user story. Estimation en heures (pas SP, trop grossier pour 1 sprint court). Restant mis à jour à chaque daily.</t>
  </si>
  <si>
    <t>✅ BON</t>
  </si>
  <si>
    <t>« T-01.2 Endpoint POST /api/signup avec validation email + mdp ≥ 8 car · Assigné : Léa · Estim 2h »</t>
  </si>
  <si>
    <t>❌ À ÉVITER</t>
  </si>
  <si>
    <t>« Faire l'inscription » (pas de tâche atomique, ni assigné, ni estimable)</t>
  </si>
  <si>
    <t>US</t>
  </si>
  <si>
    <t>ID tâche</t>
  </si>
  <si>
    <t>Tâche technique</t>
  </si>
  <si>
    <t>Assigné</t>
  </si>
  <si>
    <t>Estim. (h)</t>
  </si>
  <si>
    <t>Restant (h)</t>
  </si>
  <si>
    <t>US-01</t>
  </si>
  <si>
    <t>T-01.1</t>
  </si>
  <si>
    <t>Modèle User Django (extension AbstractUser) + migration</t>
  </si>
  <si>
    <t>Todo</t>
  </si>
  <si>
    <t>T-01.2</t>
  </si>
  <si>
    <t>Sérialiseur DRF + endpoint POST /api/signup avec validation email + mdp ≥ 8 car</t>
  </si>
  <si>
    <t>T-01.3</t>
  </si>
  <si>
    <t>Page React /signup (formulaire + validation client + appel API + redirect)</t>
  </si>
  <si>
    <t>T-01.4</t>
  </si>
  <si>
    <t>Tests pytest endpoint + Vitest composant React</t>
  </si>
  <si>
    <t>US-02</t>
  </si>
  <si>
    <t>T-02.1</t>
  </si>
  <si>
    <t>Modèle Course Django (user FK, title, content, source) + migration</t>
  </si>
  <si>
    <t>T-02.2</t>
  </si>
  <si>
    <t>Endpoint POST /api/courses (PDF upload ≤ 5 Mo) + extraction texte (PyPDF2)</t>
  </si>
  <si>
    <t>T-02.3</t>
  </si>
  <si>
    <t>Endpoint POST /api/courses (texte ≥ 200 car) + validation</t>
  </si>
  <si>
    <t>T-02.4</t>
  </si>
  <si>
    <t>Page React /upload (dropzone + textarea + sélecteur méthode + appel API)</t>
  </si>
  <si>
    <t>T-02.5</t>
  </si>
  <si>
    <t>Tests pytest + Vitest + ajout README section upload</t>
  </si>
  <si>
    <t>TOTAL</t>
  </si>
  <si>
    <t>16 h estimées · capacité 28 h-pers · marge 12 h pour onboarding, pair-programming, setup</t>
  </si>
  <si>
    <t>📌 STATUTS</t>
  </si>
  <si>
    <t>Tâche pas encore commencée</t>
  </si>
  <si>
    <t>In Progress</t>
  </si>
  <si>
    <t>Tâche en cours (1 seule par personne idéalement)</t>
  </si>
  <si>
    <t>Blocked</t>
  </si>
  <si>
    <t>Tâche bloquée, à remonter en daily</t>
  </si>
  <si>
    <t>Done</t>
  </si>
  <si>
    <t>Tâche terminée et validée</t>
  </si>
  <si>
    <t>BURNDOWN : SPRINT 1</t>
  </si>
  <si>
    <t>Trajectoire des heures restantes lundi 14h00 → 18h00 (sprint de 4h)</t>
  </si>
  <si>
    <t>💡 BURNDOWN vs BURNUP</t>
  </si>
  <si>
    <t>Le BURNDOWN trace les h-pers restantes au cours du sprint (descendant). Burnup = livré cumulé (montant). Pour 1 sprint court, burndown est plus actionnable.</t>
  </si>
  <si>
    <t>📐 LECTURE</t>
  </si>
  <si>
    <t>Idéal : descente linéaire de 16h (estim) à 0h. Réel : à reporter à chaque daily (ou heure ronde). Si Réel &gt; Idéal → alerte capacité.</t>
  </si>
  <si>
    <t>Moment du sprint</t>
  </si>
  <si>
    <t>Heure restante (idéal)</t>
  </si>
  <si>
    <t>Heure restante (réel)</t>
  </si>
  <si>
    <t>Δ réel-idéal</t>
  </si>
  <si>
    <t>Commentaire</t>
  </si>
  <si>
    <t>14h00, Début sprint</t>
  </si>
  <si>
    <t>15h00, Daily intermédiaire</t>
  </si>
  <si>
    <t>16h00, Mi-sprint</t>
  </si>
  <si>
    <t>17h00, Avant clôture</t>
  </si>
  <si>
    <t>18h00, Fin sprint / Review</t>
  </si>
  <si>
    <t>Sprint Review + démo PO</t>
  </si>
  <si>
    <t>📊 INSÉRER UN GRAPHIQUE</t>
  </si>
  <si>
    <t>Sélectionnez les colonnes Moment / Idéal / Réel puis Excel : Insertion &gt; Graphique en courbes. 2 séries (Idéal en pointillés, Réel en plein). L'écart visualise la dérive du sprint.</t>
  </si>
  <si>
    <t>📈 LECTURE DE LA COURBE</t>
  </si>
  <si>
    <t>Réel ≈ Idéal</t>
  </si>
  <si>
    <t>Sprint sous contrôle, vélocité conforme à l'estimation</t>
  </si>
  <si>
    <t>Réel &gt; Idéal</t>
  </si>
  <si>
    <t>Retard, réfléchir en daily à un re-planning ou retrait d'une tâche non critique</t>
  </si>
  <si>
    <t>Réel &lt; Idéal</t>
  </si>
  <si>
    <t>Avance, possibilité de tirer une tâche supplémentaire du Product Backlog</t>
  </si>
  <si>
    <t>Courbe plate</t>
  </si>
  <si>
    <t>Tâches bloquées, escalader immédiatement avec le Scrum Master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</si>
  <si>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</si>
  <si>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</si>
  <si>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</si>
  <si>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</si>
  <si>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</si>
  <si>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Métadonnées sprint complètes (numéro, date, équipe, capacité, vélocité cible, objectif, SM/PO)</t>
  </si>
  <si>
    <t>☑ Oui   ☐ Partiel   ☐ Non</t>
  </si>
  <si>
    <t>Conforme — complété pour EduTutor IA</t>
  </si>
  <si>
    <t>Stories engagées tirées du Product Backlog avec leur ID (US-XX)</t>
  </si>
  <si>
    <t>Chaque story est décomposée en 3-5 tâches techniques atomiques (1-3 h chacune)</t>
  </si>
  <si>
    <t>Chaque tâche a un ID (T-XX.Y) et un libellé clair et actionnable</t>
  </si>
  <si>
    <t>Chaque tâche est assignée à une personne (pas de tâche orpheline)</t>
  </si>
  <si>
    <t>Estimation horaire totale ≤ capacité du sprint (marge raisonnable conservée)</t>
  </si>
  <si>
    <t>Burndown initialisé avec heures idéales par moment du sprint</t>
  </si>
  <si>
    <t>Burndown mis à jour à chaque daily (colonne Réel renseignée)</t>
  </si>
  <si>
    <t>Sprint Review programmée en fin de sprint avec démo PO</t>
  </si>
  <si>
    <t>Le Sprint Backlog a été co-construit en Sprint Planning (toutes les voix entendues)</t>
  </si>
  <si>
    <t>☐ Oui   ☐ Partiel   ☐ Non</t>
  </si>
  <si>
    <t>SPRINT 1 (S1) — Identification &amp; upload · US-01, US-21, US-02</t>
  </si>
  <si>
    <t>US-21</t>
  </si>
  <si>
    <t>T-21.1</t>
  </si>
  <si>
    <t>Ajout champ « role » (étudiant/enseignant) au modèle User + migration</t>
  </si>
  <si>
    <t>T-21.2</t>
  </si>
  <si>
    <t>Endpoint /api/signup gère role=enseignant + redirect /quiz/create</t>
  </si>
  <si>
    <t>T-21.3</t>
  </si>
  <si>
    <t>Page React /signup : sélecteur de rôle + parcours enseignant</t>
  </si>
  <si>
    <t>T-21.4</t>
  </si>
  <si>
    <t>Tests pytest + Vitest (création compte enseignant)</t>
  </si>
  <si>
    <t>Sous-total Sprint 1 (S1)</t>
  </si>
  <si>
    <t>US-03</t>
  </si>
  <si>
    <t>T-03.1</t>
  </si>
  <si>
    <t>Modèles Quiz + Question Django (course FK, type, énoncé, propositions, bonne réponse) + migration</t>
  </si>
  <si>
    <t>T-03.2</t>
  </si>
  <si>
    <t>Service LLM local (Llama 3.1 8B via Ollama) + prompt de génération QCM</t>
  </si>
  <si>
    <t>T-03.3</t>
  </si>
  <si>
    <t>Endpoint POST /api/quizzes/generate (10 QCM, parsing JSON, timeout &lt; 60 s)</t>
  </si>
  <si>
    <t>T-03.4</t>
  </si>
  <si>
    <t>Gestion erreurs/retry LLM + validation format (10 questions × 4 propositions)</t>
  </si>
  <si>
    <t>T-03.5</t>
  </si>
  <si>
    <t>Page React /quiz : bouton « Générer un quiz » + état de chargement + affichage</t>
  </si>
  <si>
    <t>T-03.6</t>
  </si>
  <si>
    <t>Tests pytest (mock LLM) + Vitest + contrôle perf &lt; 60 s</t>
  </si>
  <si>
    <t>Sous-total Sprint 2 (S2)</t>
  </si>
  <si>
    <t>SPRINT 3 (S3) — Passage, correction &amp; types de questions · US-04, US-05, US-24</t>
  </si>
  <si>
    <t>US-04</t>
  </si>
  <si>
    <t>T-04.1</t>
  </si>
  <si>
    <t>Modèles Attempt + Answer Django (quiz FK, user FK, réponses, statut) + migration</t>
  </si>
  <si>
    <t>T-04.2</t>
  </si>
  <si>
    <t>Endpoint POST /api/quizzes/{id}/submit (comparaison réponses, statut bon/mauvais)</t>
  </si>
  <si>
    <t>T-04.3</t>
  </si>
  <si>
    <t>Page React /quiz : formulaire des 10 réponses + soumission</t>
  </si>
  <si>
    <t>T-04.4</t>
  </si>
  <si>
    <t>Tests pytest correction + Vitest soumission</t>
  </si>
  <si>
    <t>US-05</t>
  </si>
  <si>
    <t>T-05.1</t>
  </si>
  <si>
    <t>Calcul score /10 + endpoint GET /api/attempts/{id} (détail des réponses)</t>
  </si>
  <si>
    <t>T-05.2</t>
  </si>
  <si>
    <t>Page React /resultat : score /10 + 10 questions avec correction détaillée</t>
  </si>
  <si>
    <t>T-05.3</t>
  </si>
  <si>
    <t>Tests pytest score + Vitest affichage résultat</t>
  </si>
  <si>
    <t>US-24</t>
  </si>
  <si>
    <t>T-24.1</t>
  </si>
  <si>
    <t>Étendre Question : type (QCM / Vrai-Faux / réponse courte) + correction par type</t>
  </si>
  <si>
    <t>T-24.2</t>
  </si>
  <si>
    <t>Endpoint /quiz/create : sélection du type par question + validation mixte</t>
  </si>
  <si>
    <t>T-24.3</t>
  </si>
  <si>
    <t>Page React /quiz/create : UI choix du type + champs dynamiques selon type</t>
  </si>
  <si>
    <t>T-24.4</t>
  </si>
  <si>
    <t>Tests pytest correction par type + Vitest UI</t>
  </si>
  <si>
    <t>Sous-total Sprint 3 (S3)</t>
  </si>
  <si>
    <t>US-06</t>
  </si>
  <si>
    <t>T-06.1</t>
  </si>
  <si>
    <t>Endpoint GET /api/history (quizz triés par date desc) + sérialiseur</t>
  </si>
  <si>
    <t>T-06.2</t>
  </si>
  <si>
    <t>Page React /historique : liste (titre/date/score) + bouton « Refaire »</t>
  </si>
  <si>
    <t>T-06.3</t>
  </si>
  <si>
    <t>Tests pytest endpoint + Vitest liste</t>
  </si>
  <si>
    <t>Sous-total Sprint 4 (S4)</t>
  </si>
  <si>
    <t>US-22</t>
  </si>
  <si>
    <t>T-22.1</t>
  </si>
  <si>
    <t>Endpoint POST /api/quizzes (création manuelle : titre + questions + bonnes réponses) + validation</t>
  </si>
  <si>
    <t>T-22.2</t>
  </si>
  <si>
    <t>Page React /quiz/create : ajout/édition de questions QCM + champ bonne réponse + aperçu</t>
  </si>
  <si>
    <t>T-22.3</t>
  </si>
  <si>
    <t>Publication du quiz → enregistré, visible dans /library, distribuable à la classe</t>
  </si>
  <si>
    <t>T-22.4</t>
  </si>
  <si>
    <t>Tests pytest endpoint création + Vitest UI /quiz/create</t>
  </si>
  <si>
    <t>N°SPRINT</t>
  </si>
  <si>
    <t>S1</t>
  </si>
  <si>
    <t>S2</t>
  </si>
  <si>
    <t>S3</t>
  </si>
  <si>
    <t>S4</t>
  </si>
  <si>
    <t>S5</t>
  </si>
  <si>
    <t>S6</t>
  </si>
  <si>
    <t>S7</t>
  </si>
  <si>
    <t>Jacqueline</t>
  </si>
  <si>
    <t>Sebastien</t>
  </si>
  <si>
    <t>Amine</t>
  </si>
  <si>
    <t>Moussa</t>
  </si>
  <si>
    <t>Syphax</t>
  </si>
  <si>
    <t>Tristan</t>
  </si>
  <si>
    <t>Tristan DZIOCH</t>
  </si>
  <si>
    <t>Début sprint, toutes tâches en Todo, les 7 membres démarrent en parallèle sans attente</t>
  </si>
  <si>
    <t>Jacqueline, Killian, Amine, Moussa, Syphax, Tristan ont chacun terminé leur 1ʳᵉ tâche indépendante (modèles + UI mockées)</t>
  </si>
  <si>
    <t>Mi-sprint, point de vigilance : les endpoints (T-01.2, T-02.2) avancent bien mais légère friction sur la validation PDF chez Killian</t>
  </si>
  <si>
    <t>Reste le branchement API (T-01.3b, T-02.4b) et les derniers tests Sebastien — léger retard absorbable</t>
  </si>
  <si>
    <t>Tristan DZIOCH, Sebastien GERARD, Killian MARTINS</t>
  </si>
  <si>
    <t>v1.2</t>
  </si>
  <si>
    <t>30/06/2026  13h00</t>
  </si>
  <si>
    <t>[ Prénom NOM ]</t>
  </si>
  <si>
    <t xml:space="preserve">Terminé </t>
  </si>
  <si>
    <t>Répartition (h)</t>
  </si>
  <si>
    <t>Sprint 2</t>
  </si>
  <si>
    <t>Sprint 3</t>
  </si>
  <si>
    <t>Sprint 4</t>
  </si>
  <si>
    <t>Sprint 5</t>
  </si>
  <si>
    <t>Sprint 6</t>
  </si>
  <si>
    <t>Sprint 7</t>
  </si>
  <si>
    <t xml:space="preserve">Todo </t>
  </si>
  <si>
    <t xml:space="preserve">En cours </t>
  </si>
  <si>
    <t>Kilian</t>
  </si>
  <si>
    <t>Fix</t>
  </si>
  <si>
    <t>SPRINT 2 (S2) — Génération &amp; création de quiz · US-03, US-22</t>
  </si>
  <si>
    <t xml:space="preserve">Perturbation </t>
  </si>
  <si>
    <t>B-01</t>
  </si>
  <si>
    <t>Benchmark lié à la latence du LLM</t>
  </si>
  <si>
    <t>SPRINT 4 (S4) — Historique &amp; sécurisation prompt injection · US-06 + patch sécurité</t>
  </si>
  <si>
    <t>Filtrage / sanitization des entrées cours avant injection dans le prompt LLM (anti prompt injection)</t>
  </si>
  <si>
    <t>Garde-fous sur la sortie LLM : validation stricte du format quiz + rejet de contenu hors-quiz</t>
  </si>
  <si>
    <t>Rate limiting + taille max de payload sur /api/quizzes/generate</t>
  </si>
  <si>
    <t>Tests pytest sécurité (jeux de cas d’injection) + ADR sécurité dans le README</t>
  </si>
  <si>
    <t>SPRINT 5 (S5) — Export &amp; RGPD · US-12, US-27, US-28</t>
  </si>
  <si>
    <t>US-12</t>
  </si>
  <si>
    <t>T-12.1</t>
  </si>
  <si>
    <t>Endpoint GET /api/export → génération quizz.json + reponses.csv + audit.json (archive ZIP)</t>
  </si>
  <si>
    <t>T-12.2</t>
  </si>
  <si>
    <t>Page React /export : bouton « Exporter mes données » → téléchargement ZIP (RGPD Art. 15)</t>
  </si>
  <si>
    <t>T-12.3</t>
  </si>
  <si>
    <t>Tests pytest export (contenu ZIP) + Vitest UI</t>
  </si>
  <si>
    <t>US-27</t>
  </si>
  <si>
    <t>T-27.1</t>
  </si>
  <si>
    <t>Service génération .docx/.pdf du quiz (mise en page A4 + corrigé optionnel)</t>
  </si>
  <si>
    <t>T-27.2</t>
  </si>
  <si>
    <t>Endpoint POST /api/quizzes/{id}/export (choix format Word ou PDF)</t>
  </si>
  <si>
    <t>T-27.3</t>
  </si>
  <si>
    <t>Page React /quiz : bouton « Exporter » + sélecteur de format + téléchargement</t>
  </si>
  <si>
    <t>T-27.4</t>
  </si>
  <si>
    <t>Tests pytest génération fichier + Vitest UI export</t>
  </si>
  <si>
    <t>US-28</t>
  </si>
  <si>
    <t>T-28.1</t>
  </si>
  <si>
    <t>Endpoint GET /api/quizzes/{id}/results (détail par élève + agrégat top lacunes)</t>
  </si>
  <si>
    <t>T-28.2</t>
  </si>
  <si>
    <t>Page React /quiz/{id}/résultats : tableau par élève + questions les plus ratées</t>
  </si>
  <si>
    <t>T-28.3</t>
  </si>
  <si>
    <t>Tests pytest agrégat lacunes + Vitest affichage</t>
  </si>
  <si>
    <t>Sous-total Sprint 5 (S5)</t>
  </si>
  <si>
    <t>SPRINT 6 (S6) — Release 2 : comptes, bibliothèque &amp; options · US-07, US-08, US-09, US-29</t>
  </si>
  <si>
    <t>US-07</t>
  </si>
  <si>
    <t>T-07.1</t>
  </si>
  <si>
    <t>Endpoint POST /api/reset-password (lien magique valide 24 h) + envoi email</t>
  </si>
  <si>
    <t>T-07.2</t>
  </si>
  <si>
    <t>Endpoint POST /api/reset-password/confirm (nouveau mdp ≥ 8 car)</t>
  </si>
  <si>
    <t>T-07.3</t>
  </si>
  <si>
    <t>Page React /reset-password (demande + saisie nouveau mot de passe)</t>
  </si>
  <si>
    <t>T-07.4</t>
  </si>
  <si>
    <t>Tests pytest lien magique + expiration + Vitest</t>
  </si>
  <si>
    <t>US-08</t>
  </si>
  <si>
    <t>T-08.1</t>
  </si>
  <si>
    <t>Endpoint GET /api/courses (liste paginée : date, titre, nb quizz)</t>
  </si>
  <si>
    <t>T-08.2</t>
  </si>
  <si>
    <t>Page React /library : liste des cours uploadés + recherche</t>
  </si>
  <si>
    <t>T-08.3</t>
  </si>
  <si>
    <t>Tests pytest liste + Vitest /library</t>
  </si>
  <si>
    <t>US-09</t>
  </si>
  <si>
    <t>T-09.1</t>
  </si>
  <si>
    <t>Paramètres difficulté (facile/moyen/dur) + nb questions (5-20) sur /generate</t>
  </si>
  <si>
    <t>T-09.2</t>
  </si>
  <si>
    <t>Adaptation du prompt LLM selon niveau de difficulté</t>
  </si>
  <si>
    <t>T-09.3</t>
  </si>
  <si>
    <t>Page React /quiz : 3 niveaux + slider 5-20 questions</t>
  </si>
  <si>
    <t>T-09.4</t>
  </si>
  <si>
    <t>Tests pytest paramètres génération + Vitest UI</t>
  </si>
  <si>
    <t>US-29</t>
  </si>
  <si>
    <t>T-29.1</t>
  </si>
  <si>
    <t>Page /legal/rgpd : CGV + registre de traitement + attestation hébergement UE</t>
  </si>
  <si>
    <t>T-29.2</t>
  </si>
  <si>
    <t>Génération PDF du registre + attestation (aucun transfert hors UE)</t>
  </si>
  <si>
    <t>T-29.3</t>
  </si>
  <si>
    <t>Tests pytest génération PDF conformité</t>
  </si>
  <si>
    <t>Sous-total Sprint 6 (S6)</t>
  </si>
  <si>
    <t>SPRINT 7 (S7) — Release 2 : timer, dashboard &amp; banque de questions · US-10, US-11, US-23</t>
  </si>
  <si>
    <t>US-10</t>
  </si>
  <si>
    <t>T-10.1</t>
  </si>
  <si>
    <t>Param timer par question (toggle ON/OFF + durée 10-30 s configurable)</t>
  </si>
  <si>
    <t>T-10.2</t>
  </si>
  <si>
    <t>Endpoint gère config timer + persistance par quiz</t>
  </si>
  <si>
    <t>T-10.3</t>
  </si>
  <si>
    <t>Page React /quiz : toggle timer + compte à rebours par question</t>
  </si>
  <si>
    <t>T-10.4</t>
  </si>
  <si>
    <t>Tests pytest config + Vitest minuterie</t>
  </si>
  <si>
    <t>US-11</t>
  </si>
  <si>
    <t>T-11.1</t>
  </si>
  <si>
    <t>Endpoint GET /api/dashboard (agrégation score moyen par chapitre)</t>
  </si>
  <si>
    <t>T-11.2</t>
  </si>
  <si>
    <t>Page React /dashboard : graphique en barres score / chapitre</t>
  </si>
  <si>
    <t>T-11.3</t>
  </si>
  <si>
    <t>Tests pytest agrégat + Vitest graphique</t>
  </si>
  <si>
    <t>US-23</t>
  </si>
  <si>
    <t>T-23.1</t>
  </si>
  <si>
    <t>Modèle banque de questions (≥ 15) + tirage aléatoire par session</t>
  </si>
  <si>
    <t>T-23.2</t>
  </si>
  <si>
    <t>Endpoint : ordre + propositions randomisés (≤ 60 % recouvrement entre 2 élèves)</t>
  </si>
  <si>
    <t>T-23.3</t>
  </si>
  <si>
    <t>Page React : affichage des variantes par session</t>
  </si>
  <si>
    <t>T-23.4</t>
  </si>
  <si>
    <t>Tests pytest randomisation + recouvrement + Vitest</t>
  </si>
  <si>
    <t xml:space="preserve"> l'équipe se répartit entre la stack LLM (Ollama, T-03.2) et les fondations Quiz côté Django (T-03.1), pendant que Sebastien ouvre le flux de création manuelle (T-22.1).</t>
  </si>
  <si>
    <t>modèles Quiz, service Ollama et endpoint de création manuelle sont bouclés. Moussa enchaîne sur /api/quizzes/generate, un peu moins vite que prévu.</t>
  </si>
  <si>
    <t>Le goulot d'étranglement se situe sur la génération : parsing JSON capricieux (T-03.4, Syphax) et endpoint generate encore ouvert (T-03.3, Moussa). L'écart commence à se creuser.</t>
  </si>
  <si>
    <t>Killian peaufine l'écran /quiz, Amine attaque /quiz/create il reste surtout de l'intégration front et les batteries de tests avant la Review.</t>
  </si>
  <si>
    <t>US-03 + US-22 validée ; la campagne de tests T-22.4 (Jacqueline) glisse d'une heure sur le sprint suivant.</t>
  </si>
  <si>
    <t>Trois user stories en parallèle : passage du quiz, page résultat et extension des types de question. Jacqueline pose les modèles Attempt/Answer, base de tout le flux de soumission.</t>
  </si>
  <si>
    <t>submit API opérationnel (Tristan), formulaire des 10 réponses en place (Sebastien). Léger décalage par rapport à la courbe idéale, rien d'alarmant.</t>
  </si>
  <si>
    <t>Jacqueline a enchaîné score /10 et endpoint détail (T-05.1). Killian bute un peu sur les champs dynamiques Vrai-Faux / réponse courte dans /quiz/create (T-24.3).</t>
  </si>
  <si>
    <t xml:space="preserve">	
Amine finalise /resultat avec la correction détaillée. Syphax boucle les tests par type de question. Deux heures de marge consommées, livrable tenable.</t>
  </si>
  <si>
    <t>un élève peut passer un quiz mixte, obtenir son score et revoir ses erreurs  objectif US-04 / US-05 / US-24 atteint.</t>
  </si>
  <si>
    <t>LLM. Jacqueline et Tristan attaquent l'API et la page /historique, Amine le filtrage des prompts (T-SEC.1).</t>
  </si>
  <si>
    <t>history API, liste React et sanitization des entrées cours sont livrés. Bon signe pour un sprint serré.</t>
  </si>
  <si>
    <t xml:space="preserve">	
Syphax verrouille le format de sortie LLM (T-SEC.2), Kilian pose le rate limiting sur /generate (T-SEC.3). Une heure de retard seulement, bien gérable.</t>
  </si>
  <si>
    <t xml:space="preserve">	
Moussa lance la batterie de tests d'injection . Sebastien valide la liste /historique et le bouton « Refaire ». Dernière ligne droite.</t>
  </si>
  <si>
    <t xml:space="preserve"> historique consultable et couche anti prompt injection démontrée sprint bouclé à zéro heure restante.</t>
  </si>
  <si>
    <t>US-35</t>
  </si>
  <si>
    <t>US-34</t>
  </si>
  <si>
    <t>T-35.1</t>
  </si>
  <si>
    <t>T-35.2</t>
  </si>
  <si>
    <t>T-34.1</t>
  </si>
  <si>
    <t>T-35.3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</si>
</sst>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1"/>
      <color theme="1"/>
      <name val="Calibri"/>
      <family val="2"/>
      <charset val="1"/>
    </font>
    <font>
      <b/>
      <sz val="72"/>
      <color rgb="FF1E1B4B"/>
      <name val="Cambria"/>
      <charset val="1"/>
    </font>
    <font>
      <b/>
      <sz val="14"/>
      <color rgb="FF1E1B4B"/>
      <name val="Cambria"/>
      <charset val="1"/>
    </font>
    <font>
      <b/>
      <sz val="10"/>
      <color rgb="FFF59E0B"/>
      <name val="Cambria"/>
      <charset val="1"/>
    </font>
    <font>
      <b/>
      <sz val="24"/>
      <color rgb="FF1E1B4B"/>
      <name val="Cambria"/>
      <charset val="1"/>
    </font>
    <font>
      <i/>
      <sz val="12"/>
      <color rgb="FF475569"/>
      <name val="Cambria"/>
      <charset val="1"/>
    </font>
    <font>
      <b/>
      <sz val="11"/>
      <color rgb="FF475569"/>
      <name val="Cambria"/>
      <charset val="1"/>
    </font>
    <font>
      <i/>
      <sz val="9"/>
      <color rgb="FF475569"/>
      <name val="Cambria"/>
      <charset val="1"/>
    </font>
    <font>
      <b/>
      <sz val="12"/>
      <color rgb="FFF59E0B"/>
      <name val="Cambria"/>
      <charset val="1"/>
    </font>
    <font>
      <i/>
      <sz val="10"/>
      <color rgb="FF475569"/>
      <name val="Cambria"/>
      <charset val="1"/>
    </font>
    <font>
      <b/>
      <sz val="11"/>
      <color rgb="FF1E1B4B"/>
      <name val="Cambria"/>
      <charset val="1"/>
    </font>
    <font>
      <i/>
      <sz val="11"/>
      <color rgb="FF475569"/>
      <name val="Cambria"/>
      <charset val="1"/>
    </font>
    <font>
      <b/>
      <sz val="9"/>
      <color rgb="FFF59E0B"/>
      <name val="Cambria"/>
      <charset val="1"/>
    </font>
    <font>
      <b/>
      <sz val="18"/>
      <color rgb="FF1E1B4B"/>
      <name val="Cambria"/>
      <charset val="1"/>
    </font>
    <font>
      <b/>
      <sz val="10"/>
      <color rgb="FF1E1B4B"/>
      <name val="Cambria"/>
      <charset val="1"/>
    </font>
    <font>
      <sz val="10"/>
      <color rgb="FF1E1B4B"/>
      <name val="Cambria"/>
      <charset val="1"/>
    </font>
    <font>
      <b/>
      <sz val="10"/>
      <color rgb="FF16A34A"/>
      <name val="Cambria"/>
      <charset val="1"/>
    </font>
    <font>
      <b/>
      <sz val="10"/>
      <color rgb="FFDC2626"/>
      <name val="Cambria"/>
      <charset val="1"/>
    </font>
    <font>
      <b/>
      <sz val="11"/>
      <color rgb="FFFFFFFF"/>
      <name val="Cambria"/>
      <charset val="1"/>
    </font>
    <font>
      <b/>
      <sz val="10"/>
      <color rgb="FFB45309"/>
      <name val="Cambria"/>
      <charset val="1"/>
    </font>
    <font>
      <b/>
      <sz val="10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i/>
      <sz val="10"/>
      <color theme="1"/>
      <name val="Calibri"/>
      <family val="2"/>
    </font>
    <font>
      <sz val="8"/>
      <name val="Calibri"/>
      <family val="2"/>
      <charset val="1"/>
    </font>
    <font>
      <b/>
      <sz val="18"/>
      <color rgb="FF1E1B4B"/>
      <name val="Cambria"/>
      <family val="1"/>
    </font>
    <font>
      <i/>
      <sz val="10"/>
      <color rgb="FF475569"/>
      <name val="Cambria"/>
      <family val="1"/>
    </font>
    <font>
      <b/>
      <sz val="12"/>
      <color rgb="FFF59E0B"/>
      <name val="Cambria"/>
      <family val="1"/>
    </font>
    <font>
      <b/>
      <sz val="10"/>
      <color rgb="FF1E1B4B"/>
      <name val="Cambria"/>
      <family val="1"/>
    </font>
    <font>
      <sz val="10"/>
      <color rgb="FF1E1B4B"/>
      <name val="Cambria"/>
      <family val="1"/>
    </font>
    <font>
      <b/>
      <sz val="10"/>
      <color rgb="FFF59E0B"/>
      <name val="Cambria"/>
      <family val="1"/>
    </font>
    <font>
      <b/>
      <sz val="10"/>
      <color rgb="FF16A34A"/>
      <name val="Cambria"/>
      <family val="1"/>
    </font>
    <font>
      <b/>
      <sz val="10"/>
      <color rgb="FFDC2626"/>
      <name val="Cambria"/>
      <family val="1"/>
    </font>
    <font>
      <b/>
      <sz val="11"/>
      <color rgb="FFFFFFFF"/>
      <name val="Cambria"/>
      <family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1E1B4B"/>
      <name val="Cambria"/>
      <family val="1"/>
    </font>
    <font>
      <b/>
      <sz val="10"/>
      <color rgb="FF475569"/>
      <name val="Cambria"/>
      <family val="1"/>
    </font>
    <font>
      <b/>
      <sz val="10"/>
      <color rgb="FFB45309"/>
      <name val="Cambria"/>
      <family val="1"/>
    </font>
  </fonts>
  <fills count="13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1E1B4B"/>
        <bgColor rgb="FF003366"/>
      </patternFill>
    </fill>
    <fill>
      <patternFill patternType="solid">
        <fgColor rgb="FFE0E7FF"/>
        <bgColor rgb="FFEEF2FF"/>
      </patternFill>
    </fill>
    <fill>
      <patternFill patternType="solid">
        <fgColor rgb="FF3C4A6B"/>
        <bgColor indexed="64"/>
      </patternFill>
    </fill>
    <fill>
      <patternFill patternType="solid">
        <fgColor rgb="FFE9EDF7"/>
        <bgColor indexed="64"/>
      </patternFill>
    </fill>
    <fill>
      <patternFill patternType="solid">
        <fgColor rgb="FFFBF6E4"/>
        <bgColor indexed="64"/>
      </patternFill>
    </fill>
    <fill>
      <patternFill patternType="solid">
        <fgColor rgb="FFE2E2E2"/>
        <bgColor indexed="64"/>
      </patternFill>
    </fill>
    <fill>
      <patternFill patternType="solid">
        <fgColor rgb="FF1E1B4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CE3F2"/>
        <bgColor indexed="64"/>
      </patternFill>
    </fill>
  </fills>
  <borders count="1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6" fillId="0" borderId="0" xfId="0" applyFont="1"/>
    <xf numFmtId="0" fontId="17" fillId="0" borderId="0" xfId="0" applyFont="1"/>
    <xf numFmtId="0" fontId="18" fillId="3" borderId="1" xfId="0" applyFont="1" applyFill="1" applyBorder="1" applyAlignment="1">
      <alignment horizontal="center" vertical="center" wrapText="1"/>
    </xf>
    <xf numFmtId="0" fontId="0" fillId="4" borderId="2" xfId="0" applyFill="1" applyBorder="1"/>
    <xf numFmtId="0" fontId="19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21" fillId="6" borderId="7" xfId="0" applyFont="1" applyFill="1" applyBorder="1" applyAlignment="1">
      <alignment horizontal="center" vertical="center" wrapText="1"/>
    </xf>
    <xf numFmtId="0" fontId="21" fillId="6" borderId="8" xfId="0" applyFont="1" applyFill="1" applyBorder="1" applyAlignment="1">
      <alignment vertical="center" wrapText="1"/>
    </xf>
    <xf numFmtId="0" fontId="22" fillId="6" borderId="8" xfId="0" applyFont="1" applyFill="1" applyBorder="1" applyAlignment="1">
      <alignment vertical="center" wrapText="1"/>
    </xf>
    <xf numFmtId="0" fontId="22" fillId="6" borderId="8" xfId="0" applyFont="1" applyFill="1" applyBorder="1" applyAlignment="1">
      <alignment horizontal="center" vertical="center" wrapText="1"/>
    </xf>
    <xf numFmtId="0" fontId="21" fillId="7" borderId="7" xfId="0" applyFont="1" applyFill="1" applyBorder="1" applyAlignment="1">
      <alignment horizontal="center" vertical="center" wrapText="1"/>
    </xf>
    <xf numFmtId="0" fontId="21" fillId="7" borderId="8" xfId="0" applyFont="1" applyFill="1" applyBorder="1" applyAlignment="1">
      <alignment vertical="center" wrapText="1"/>
    </xf>
    <xf numFmtId="0" fontId="22" fillId="7" borderId="8" xfId="0" applyFont="1" applyFill="1" applyBorder="1" applyAlignment="1">
      <alignment vertical="center" wrapText="1"/>
    </xf>
    <xf numFmtId="0" fontId="22" fillId="7" borderId="8" xfId="0" applyFont="1" applyFill="1" applyBorder="1" applyAlignment="1">
      <alignment horizontal="center" vertical="center" wrapText="1"/>
    </xf>
    <xf numFmtId="0" fontId="23" fillId="8" borderId="7" xfId="0" applyFont="1" applyFill="1" applyBorder="1" applyAlignment="1">
      <alignment wrapText="1"/>
    </xf>
    <xf numFmtId="0" fontId="24" fillId="8" borderId="8" xfId="0" applyFont="1" applyFill="1" applyBorder="1" applyAlignment="1">
      <alignment vertical="center" wrapText="1"/>
    </xf>
    <xf numFmtId="0" fontId="23" fillId="8" borderId="8" xfId="0" applyFont="1" applyFill="1" applyBorder="1" applyAlignment="1">
      <alignment wrapText="1"/>
    </xf>
    <xf numFmtId="0" fontId="24" fillId="8" borderId="8" xfId="0" applyFont="1" applyFill="1" applyBorder="1" applyAlignment="1">
      <alignment horizontal="center" vertical="center" wrapText="1"/>
    </xf>
    <xf numFmtId="0" fontId="18" fillId="3" borderId="10" xfId="0" applyFont="1" applyFill="1" applyBorder="1" applyAlignment="1">
      <alignment horizontal="center" vertical="center" wrapText="1"/>
    </xf>
    <xf numFmtId="0" fontId="14" fillId="0" borderId="11" xfId="0" applyFont="1" applyBorder="1" applyAlignment="1">
      <alignment vertical="center" wrapText="1"/>
    </xf>
    <xf numFmtId="0" fontId="15" fillId="0" borderId="11" xfId="0" applyFont="1" applyBorder="1" applyAlignment="1">
      <alignment horizontal="center" vertical="center"/>
    </xf>
    <xf numFmtId="0" fontId="15" fillId="0" borderId="11" xfId="0" applyFont="1" applyBorder="1" applyAlignment="1">
      <alignment vertical="center" wrapText="1"/>
    </xf>
    <xf numFmtId="0" fontId="0" fillId="0" borderId="11" xfId="0" applyBorder="1"/>
    <xf numFmtId="0" fontId="18" fillId="3" borderId="12" xfId="0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vertical="center" wrapText="1"/>
    </xf>
    <xf numFmtId="0" fontId="15" fillId="0" borderId="14" xfId="0" applyFont="1" applyBorder="1" applyAlignment="1">
      <alignment horizontal="center" vertical="center"/>
    </xf>
    <xf numFmtId="0" fontId="14" fillId="0" borderId="13" xfId="0" applyFont="1" applyBorder="1" applyAlignment="1">
      <alignment vertical="center" wrapText="1"/>
    </xf>
    <xf numFmtId="0" fontId="15" fillId="0" borderId="13" xfId="0" applyFont="1" applyBorder="1" applyAlignment="1">
      <alignment horizontal="center" vertical="center"/>
    </xf>
    <xf numFmtId="0" fontId="15" fillId="0" borderId="13" xfId="0" applyFont="1" applyBorder="1" applyAlignment="1">
      <alignment vertical="center" wrapText="1"/>
    </xf>
    <xf numFmtId="0" fontId="14" fillId="0" borderId="15" xfId="0" applyFont="1" applyBorder="1" applyAlignment="1">
      <alignment vertical="center" wrapText="1"/>
    </xf>
    <xf numFmtId="0" fontId="15" fillId="0" borderId="15" xfId="0" applyFont="1" applyBorder="1" applyAlignment="1">
      <alignment horizontal="center" vertical="center"/>
    </xf>
    <xf numFmtId="0" fontId="0" fillId="0" borderId="13" xfId="0" applyBorder="1"/>
    <xf numFmtId="0" fontId="11" fillId="0" borderId="1" xfId="0" applyFont="1" applyBorder="1" applyAlignment="1">
      <alignment horizontal="center"/>
    </xf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2" borderId="2" xfId="0" applyFont="1" applyFill="1" applyBorder="1"/>
    <xf numFmtId="0" fontId="30" fillId="0" borderId="2" xfId="0" applyFont="1" applyBorder="1" applyAlignment="1">
      <alignment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3" borderId="1" xfId="0" applyFont="1" applyFill="1" applyBorder="1" applyAlignment="1">
      <alignment horizontal="center" vertical="center" wrapText="1"/>
    </xf>
    <xf numFmtId="0" fontId="34" fillId="9" borderId="2" xfId="0" applyFont="1" applyFill="1" applyBorder="1"/>
    <xf numFmtId="0" fontId="35" fillId="6" borderId="2" xfId="0" applyFont="1" applyFill="1" applyBorder="1" applyAlignment="1">
      <alignment horizontal="left"/>
    </xf>
    <xf numFmtId="0" fontId="36" fillId="10" borderId="2" xfId="0" applyFont="1" applyFill="1" applyBorder="1" applyAlignment="1">
      <alignment horizontal="center"/>
    </xf>
    <xf numFmtId="0" fontId="23" fillId="8" borderId="7" xfId="0" applyFont="1" applyFill="1" applyBorder="1" applyAlignment="1">
      <alignment vertical="center" wrapText="1"/>
    </xf>
    <xf numFmtId="0" fontId="23" fillId="8" borderId="8" xfId="0" applyFont="1" applyFill="1" applyBorder="1" applyAlignment="1">
      <alignment vertical="center" wrapText="1"/>
    </xf>
    <xf numFmtId="0" fontId="21" fillId="11" borderId="7" xfId="0" applyFont="1" applyFill="1" applyBorder="1" applyAlignment="1">
      <alignment horizontal="center" vertical="center" wrapText="1"/>
    </xf>
    <xf numFmtId="0" fontId="22" fillId="11" borderId="8" xfId="0" applyFont="1" applyFill="1" applyBorder="1" applyAlignment="1">
      <alignment vertical="center" wrapText="1"/>
    </xf>
    <xf numFmtId="0" fontId="22" fillId="11" borderId="8" xfId="0" applyFont="1" applyFill="1" applyBorder="1" applyAlignment="1">
      <alignment horizontal="center" vertical="center" wrapText="1"/>
    </xf>
    <xf numFmtId="0" fontId="37" fillId="12" borderId="3" xfId="0" applyFont="1" applyFill="1" applyBorder="1" applyAlignment="1">
      <alignment vertical="center" wrapText="1"/>
    </xf>
    <xf numFmtId="0" fontId="23" fillId="12" borderId="9" xfId="0" applyFont="1" applyFill="1" applyBorder="1" applyAlignment="1">
      <alignment vertical="center" wrapText="1"/>
    </xf>
    <xf numFmtId="0" fontId="37" fillId="12" borderId="9" xfId="0" applyFont="1" applyFill="1" applyBorder="1" applyAlignment="1">
      <alignment horizontal="center" vertical="center" wrapText="1"/>
    </xf>
    <xf numFmtId="0" fontId="38" fillId="4" borderId="2" xfId="0" applyFont="1" applyFill="1" applyBorder="1"/>
    <xf numFmtId="0" fontId="27" fillId="4" borderId="2" xfId="0" applyFont="1" applyFill="1" applyBorder="1"/>
    <xf numFmtId="0" fontId="39" fillId="0" borderId="0" xfId="0" applyFont="1"/>
    <xf numFmtId="0" fontId="40" fillId="0" borderId="0" xfId="0" applyFont="1"/>
    <xf numFmtId="0" fontId="15" fillId="0" borderId="16" xfId="0" applyFont="1" applyBorder="1" applyAlignment="1">
      <alignment horizontal="center" vertical="center"/>
    </xf>
    <xf numFmtId="0" fontId="30" fillId="0" borderId="11" xfId="0" applyFont="1" applyBorder="1" applyAlignment="1">
      <alignment vertical="center" wrapText="1"/>
    </xf>
    <xf numFmtId="0" fontId="30" fillId="0" borderId="13" xfId="0" applyFont="1" applyBorder="1" applyAlignment="1">
      <alignment vertical="center" wrapText="1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0" fillId="5" borderId="4" xfId="0" applyFont="1" applyFill="1" applyBorder="1" applyAlignment="1">
      <alignment vertical="center" wrapText="1"/>
    </xf>
    <xf numFmtId="0" fontId="20" fillId="5" borderId="5" xfId="0" applyFont="1" applyFill="1" applyBorder="1" applyAlignment="1">
      <alignment vertical="center" wrapText="1"/>
    </xf>
    <xf numFmtId="0" fontId="20" fillId="5" borderId="6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BEB"/>
      <rgbColor rgb="FFEEF2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7FF"/>
      <rgbColor rgb="FFF8FAF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FF6600"/>
      <rgbColor rgb="FF475569"/>
      <rgbColor rgb="FF94A3B8"/>
      <rgbColor rgb="FF003366"/>
      <rgbColor rgb="FF16A34A"/>
      <rgbColor rgb="FF003300"/>
      <rgbColor rgb="FF333300"/>
      <rgbColor rgb="FFB45309"/>
      <rgbColor rgb="FF993366"/>
      <rgbColor rgb="FF333399"/>
      <rgbColor rgb="FF1E1B4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topLeftCell="A2" zoomScaleNormal="100" workbookViewId="0"/>
  </sheetViews>
  <sheetFormatPr baseColWidth="10" defaultColWidth="8.6640625" defaultRowHeight="14.4" x14ac:dyDescent="0.3"/>
  <cols>
    <col min="1" max="1" width="4" customWidth="1"/>
    <col min="2" max="2" width="90" customWidth="1"/>
  </cols>
  <sheetData>
    <row r="2" spans="2:2" ht="88.8" x14ac:dyDescent="1.4">
      <c r="B2" s="1" t="s">
        <v>0</v>
      </c>
    </row>
    <row r="4" spans="2:2" ht="17.399999999999999" x14ac:dyDescent="0.3">
      <c r="B4" s="2" t="s">
        <v>1</v>
      </c>
    </row>
    <row r="8" spans="2:2" x14ac:dyDescent="0.3">
      <c r="B8" s="3" t="s">
        <v>2</v>
      </c>
    </row>
    <row r="10" spans="2:2" ht="30" x14ac:dyDescent="0.5">
      <c r="B10" s="4" t="s">
        <v>3</v>
      </c>
    </row>
    <row r="12" spans="2:2" ht="15.6" x14ac:dyDescent="0.3">
      <c r="B12" s="5" t="s">
        <v>4</v>
      </c>
    </row>
    <row r="20" spans="2:2" x14ac:dyDescent="0.3">
      <c r="B20" s="6" t="s">
        <v>5</v>
      </c>
    </row>
    <row r="21" spans="2:2" x14ac:dyDescent="0.3">
      <c r="B21" s="7" t="s"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zoomScaleNormal="100" workbookViewId="0">
      <selection activeCell="C6" sqref="C6"/>
    </sheetView>
  </sheetViews>
  <sheetFormatPr baseColWidth="10" defaultColWidth="8.6640625" defaultRowHeight="14.4" x14ac:dyDescent="0.3"/>
  <cols>
    <col min="1" max="1" width="2" customWidth="1"/>
    <col min="2" max="2" width="25" customWidth="1"/>
    <col min="3" max="3" width="60" customWidth="1"/>
  </cols>
  <sheetData>
    <row r="2" spans="2:3" ht="15.6" x14ac:dyDescent="0.3">
      <c r="B2" s="8" t="s">
        <v>7</v>
      </c>
    </row>
    <row r="3" spans="2:3" x14ac:dyDescent="0.3">
      <c r="B3" s="9" t="s">
        <v>8</v>
      </c>
    </row>
    <row r="5" spans="2:3" ht="21.75" customHeight="1" x14ac:dyDescent="0.3">
      <c r="B5" s="10" t="s">
        <v>9</v>
      </c>
      <c r="C5" s="47">
        <v>13</v>
      </c>
    </row>
    <row r="6" spans="2:3" ht="21.75" customHeight="1" x14ac:dyDescent="0.3">
      <c r="B6" s="10" t="s">
        <v>10</v>
      </c>
      <c r="C6" s="11" t="s">
        <v>215</v>
      </c>
    </row>
    <row r="7" spans="2:3" ht="21.75" customHeight="1" x14ac:dyDescent="0.3">
      <c r="B7" s="10" t="s">
        <v>11</v>
      </c>
      <c r="C7" s="11" t="s">
        <v>12</v>
      </c>
    </row>
    <row r="8" spans="2:3" ht="21.75" customHeight="1" x14ac:dyDescent="0.3">
      <c r="B8" s="10" t="s">
        <v>13</v>
      </c>
      <c r="C8" s="11" t="s">
        <v>216</v>
      </c>
    </row>
    <row r="9" spans="2:3" ht="21.75" customHeight="1" x14ac:dyDescent="0.3">
      <c r="B9" s="10" t="s">
        <v>14</v>
      </c>
      <c r="C9" s="11" t="s">
        <v>217</v>
      </c>
    </row>
    <row r="10" spans="2:3" ht="21.75" customHeight="1" x14ac:dyDescent="0.3">
      <c r="B10" s="10" t="s">
        <v>15</v>
      </c>
      <c r="C10" s="11" t="s">
        <v>16</v>
      </c>
    </row>
    <row r="12" spans="2:3" x14ac:dyDescent="0.3">
      <c r="B12" s="12" t="s">
        <v>17</v>
      </c>
    </row>
    <row r="13" spans="2:3" x14ac:dyDescent="0.3">
      <c r="B13" s="7" t="s">
        <v>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17"/>
  <sheetViews>
    <sheetView showGridLines="0" tabSelected="1" zoomScaleNormal="100" workbookViewId="0">
      <pane ySplit="19" topLeftCell="A68" activePane="bottomLeft" state="frozen"/>
      <selection pane="bottomLeft" activeCell="C12" sqref="C12"/>
    </sheetView>
  </sheetViews>
  <sheetFormatPr baseColWidth="10" defaultColWidth="8.6640625" defaultRowHeight="14.4" x14ac:dyDescent="0.3"/>
  <cols>
    <col min="1" max="1" width="30" customWidth="1"/>
    <col min="2" max="2" width="49.33203125" customWidth="1"/>
    <col min="3" max="3" width="81.109375" customWidth="1"/>
    <col min="4" max="4" width="13.5546875" bestFit="1" customWidth="1"/>
    <col min="5" max="5" width="10" customWidth="1"/>
    <col min="6" max="7" width="11" customWidth="1"/>
    <col min="12" max="12" width="10.44140625" bestFit="1" customWidth="1"/>
  </cols>
  <sheetData>
    <row r="1" spans="1:2" ht="22.8" x14ac:dyDescent="0.4">
      <c r="A1" s="48" t="s">
        <v>19</v>
      </c>
    </row>
    <row r="2" spans="1:2" x14ac:dyDescent="0.3">
      <c r="A2" s="49" t="s">
        <v>20</v>
      </c>
    </row>
    <row r="4" spans="1:2" ht="15.6" x14ac:dyDescent="0.3">
      <c r="A4" s="50" t="s">
        <v>21</v>
      </c>
    </row>
    <row r="5" spans="1:2" ht="21.75" customHeight="1" x14ac:dyDescent="0.3">
      <c r="A5" s="51" t="s">
        <v>22</v>
      </c>
      <c r="B5" s="52" t="s">
        <v>23</v>
      </c>
    </row>
    <row r="6" spans="1:2" ht="21.75" customHeight="1" x14ac:dyDescent="0.3">
      <c r="A6" s="51" t="s">
        <v>24</v>
      </c>
      <c r="B6" s="52" t="s">
        <v>25</v>
      </c>
    </row>
    <row r="7" spans="1:2" ht="21.75" customHeight="1" x14ac:dyDescent="0.3">
      <c r="A7" s="51" t="s">
        <v>26</v>
      </c>
      <c r="B7" s="52" t="s">
        <v>27</v>
      </c>
    </row>
    <row r="8" spans="1:2" ht="21.75" customHeight="1" x14ac:dyDescent="0.3">
      <c r="A8" s="51" t="s">
        <v>28</v>
      </c>
      <c r="B8" s="52" t="s">
        <v>29</v>
      </c>
    </row>
    <row r="9" spans="1:2" ht="21.75" customHeight="1" x14ac:dyDescent="0.3">
      <c r="A9" s="51" t="s">
        <v>30</v>
      </c>
      <c r="B9" s="52" t="s">
        <v>31</v>
      </c>
    </row>
    <row r="10" spans="1:2" ht="21.75" customHeight="1" x14ac:dyDescent="0.3">
      <c r="A10" s="51" t="s">
        <v>32</v>
      </c>
      <c r="B10" s="52" t="s">
        <v>33</v>
      </c>
    </row>
    <row r="11" spans="1:2" ht="21.75" customHeight="1" x14ac:dyDescent="0.3">
      <c r="A11" s="51" t="s">
        <v>34</v>
      </c>
      <c r="B11" s="52" t="s">
        <v>210</v>
      </c>
    </row>
    <row r="12" spans="1:2" ht="21.75" customHeight="1" x14ac:dyDescent="0.3">
      <c r="A12" s="51" t="s">
        <v>35</v>
      </c>
      <c r="B12" s="52" t="s">
        <v>218</v>
      </c>
    </row>
    <row r="14" spans="1:2" x14ac:dyDescent="0.3">
      <c r="A14" s="53" t="s">
        <v>36</v>
      </c>
      <c r="B14" s="49" t="s">
        <v>37</v>
      </c>
    </row>
    <row r="15" spans="1:2" x14ac:dyDescent="0.3">
      <c r="A15" s="53" t="s">
        <v>38</v>
      </c>
      <c r="B15" s="49" t="s">
        <v>39</v>
      </c>
    </row>
    <row r="16" spans="1:2" x14ac:dyDescent="0.3">
      <c r="A16" s="54" t="s">
        <v>40</v>
      </c>
      <c r="B16" s="49" t="s">
        <v>41</v>
      </c>
    </row>
    <row r="17" spans="1:22" x14ac:dyDescent="0.3">
      <c r="A17" s="55" t="s">
        <v>42</v>
      </c>
      <c r="B17" s="49" t="s">
        <v>43</v>
      </c>
    </row>
    <row r="19" spans="1:22" ht="28.2" thickBot="1" x14ac:dyDescent="0.35">
      <c r="A19" s="56" t="s">
        <v>44</v>
      </c>
      <c r="B19" s="56" t="s">
        <v>45</v>
      </c>
      <c r="C19" s="56" t="s">
        <v>46</v>
      </c>
      <c r="D19" s="56" t="s">
        <v>47</v>
      </c>
      <c r="E19" s="56" t="s">
        <v>48</v>
      </c>
      <c r="F19" s="56" t="s">
        <v>49</v>
      </c>
      <c r="G19" s="56" t="s">
        <v>15</v>
      </c>
    </row>
    <row r="20" spans="1:22" ht="15.75" customHeight="1" thickBot="1" x14ac:dyDescent="0.35">
      <c r="A20" s="79" t="s">
        <v>127</v>
      </c>
      <c r="B20" s="80"/>
      <c r="C20" s="80"/>
      <c r="D20" s="80"/>
      <c r="E20" s="80"/>
      <c r="F20" s="80"/>
      <c r="G20" s="81"/>
    </row>
    <row r="21" spans="1:22" ht="15" thickBot="1" x14ac:dyDescent="0.35">
      <c r="A21" s="21" t="s">
        <v>50</v>
      </c>
      <c r="B21" s="22" t="s">
        <v>51</v>
      </c>
      <c r="C21" s="23" t="s">
        <v>52</v>
      </c>
      <c r="D21" s="24" t="s">
        <v>204</v>
      </c>
      <c r="E21" s="24">
        <v>1</v>
      </c>
      <c r="F21" s="24">
        <v>1</v>
      </c>
      <c r="G21" s="24" t="s">
        <v>219</v>
      </c>
    </row>
    <row r="22" spans="1:22" ht="15" thickBot="1" x14ac:dyDescent="0.35">
      <c r="A22" s="21" t="s">
        <v>50</v>
      </c>
      <c r="B22" s="22" t="s">
        <v>54</v>
      </c>
      <c r="C22" s="23" t="s">
        <v>55</v>
      </c>
      <c r="D22" s="24" t="s">
        <v>206</v>
      </c>
      <c r="E22" s="24">
        <v>2</v>
      </c>
      <c r="F22" s="24">
        <v>2</v>
      </c>
      <c r="G22" s="24" t="s">
        <v>219</v>
      </c>
    </row>
    <row r="23" spans="1:22" ht="15" thickBot="1" x14ac:dyDescent="0.35">
      <c r="A23" s="21" t="s">
        <v>50</v>
      </c>
      <c r="B23" s="22" t="s">
        <v>56</v>
      </c>
      <c r="C23" s="23" t="s">
        <v>57</v>
      </c>
      <c r="D23" s="24" t="s">
        <v>207</v>
      </c>
      <c r="E23" s="24">
        <v>3</v>
      </c>
      <c r="F23" s="24">
        <v>3</v>
      </c>
      <c r="G23" s="24" t="s">
        <v>219</v>
      </c>
    </row>
    <row r="24" spans="1:22" ht="15" thickBot="1" x14ac:dyDescent="0.35">
      <c r="A24" s="21" t="s">
        <v>50</v>
      </c>
      <c r="B24" s="22" t="s">
        <v>58</v>
      </c>
      <c r="C24" s="23" t="s">
        <v>59</v>
      </c>
      <c r="D24" s="24" t="s">
        <v>205</v>
      </c>
      <c r="E24" s="24">
        <v>1</v>
      </c>
      <c r="F24" s="24">
        <v>1</v>
      </c>
      <c r="G24" s="24" t="s">
        <v>219</v>
      </c>
    </row>
    <row r="25" spans="1:22" ht="15" thickBot="1" x14ac:dyDescent="0.35">
      <c r="A25" s="25" t="s">
        <v>128</v>
      </c>
      <c r="B25" s="26" t="s">
        <v>129</v>
      </c>
      <c r="C25" s="27" t="s">
        <v>130</v>
      </c>
      <c r="D25" s="28" t="s">
        <v>206</v>
      </c>
      <c r="E25" s="28">
        <v>1</v>
      </c>
      <c r="F25" s="28">
        <v>1</v>
      </c>
      <c r="G25" s="24" t="s">
        <v>219</v>
      </c>
    </row>
    <row r="26" spans="1:22" ht="15" thickBot="1" x14ac:dyDescent="0.35">
      <c r="A26" s="25" t="s">
        <v>128</v>
      </c>
      <c r="B26" s="26" t="s">
        <v>131</v>
      </c>
      <c r="C26" s="27" t="s">
        <v>132</v>
      </c>
      <c r="D26" s="28" t="s">
        <v>209</v>
      </c>
      <c r="E26" s="28">
        <v>1</v>
      </c>
      <c r="F26" s="28">
        <v>1</v>
      </c>
      <c r="G26" s="24" t="s">
        <v>219</v>
      </c>
      <c r="L26" s="57" t="s">
        <v>220</v>
      </c>
      <c r="M26" s="57" t="s">
        <v>23</v>
      </c>
      <c r="N26" s="57" t="s">
        <v>221</v>
      </c>
      <c r="O26" s="57" t="s">
        <v>222</v>
      </c>
      <c r="P26" s="57" t="s">
        <v>223</v>
      </c>
      <c r="Q26" s="57" t="s">
        <v>224</v>
      </c>
      <c r="R26" s="57" t="s">
        <v>225</v>
      </c>
      <c r="S26" s="57" t="s">
        <v>226</v>
      </c>
    </row>
    <row r="27" spans="1:22" ht="15" thickBot="1" x14ac:dyDescent="0.35">
      <c r="A27" s="25" t="s">
        <v>128</v>
      </c>
      <c r="B27" s="26" t="s">
        <v>133</v>
      </c>
      <c r="C27" s="27" t="s">
        <v>134</v>
      </c>
      <c r="D27" s="28" t="s">
        <v>209</v>
      </c>
      <c r="E27" s="28">
        <v>2</v>
      </c>
      <c r="F27" s="28">
        <v>2</v>
      </c>
      <c r="G27" s="24" t="s">
        <v>219</v>
      </c>
      <c r="L27" s="58" t="s">
        <v>204</v>
      </c>
      <c r="M27" s="59">
        <f>SUMIF($D$21:$D$33,$L27,$E$21:$E$33)</f>
        <v>3</v>
      </c>
      <c r="N27" s="59">
        <f>SUMIF($D$36:$D$46,$L27,$E$36:$E$46)</f>
        <v>3</v>
      </c>
      <c r="O27" s="59">
        <f>SUMIF($D$49:$D$59,$L27,$E$49:$E$59)</f>
        <v>3</v>
      </c>
      <c r="P27" s="59">
        <f>SUMIF($D$62:$D$68,$L27,$E$62:$E$68)</f>
        <v>2</v>
      </c>
      <c r="Q27" s="59">
        <f>SUMIF($D$71:$D$80,$L27,$E$71:$E$80)</f>
        <v>3</v>
      </c>
      <c r="R27" s="59">
        <f>SUMIF($D$83:$D$96,$L27,$E$83:$E$96)</f>
        <v>4</v>
      </c>
      <c r="S27" s="59">
        <f>SUMIF($D$99:$D$109,$L27,$E$99:$E$109)</f>
        <v>2</v>
      </c>
      <c r="V27" t="s">
        <v>227</v>
      </c>
    </row>
    <row r="28" spans="1:22" ht="15" thickBot="1" x14ac:dyDescent="0.35">
      <c r="A28" s="25" t="s">
        <v>128</v>
      </c>
      <c r="B28" s="26" t="s">
        <v>135</v>
      </c>
      <c r="C28" s="27" t="s">
        <v>136</v>
      </c>
      <c r="D28" s="28" t="s">
        <v>205</v>
      </c>
      <c r="E28" s="28">
        <v>1</v>
      </c>
      <c r="F28" s="28">
        <v>1</v>
      </c>
      <c r="G28" s="24" t="s">
        <v>219</v>
      </c>
      <c r="L28" s="58" t="s">
        <v>206</v>
      </c>
      <c r="M28" s="59">
        <f t="shared" ref="M28:M33" si="0">SUMIF($D$21:$D$33,$L28,$E$21:$E$33)</f>
        <v>3</v>
      </c>
      <c r="N28" s="59">
        <f t="shared" ref="N28:N33" si="1">SUMIF($D$36:$D$46,$L28,$E$36:$E$46)</f>
        <v>5</v>
      </c>
      <c r="O28" s="59">
        <f t="shared" ref="O28:O33" si="2">SUMIF($D$49:$D$59,$L28,$E$49:$E$59)</f>
        <v>3</v>
      </c>
      <c r="P28" s="59">
        <f t="shared" ref="P28:P33" si="3">SUMIF($D$62:$D$68,$L28,$E$62:$E$68)</f>
        <v>2</v>
      </c>
      <c r="Q28" s="59">
        <f t="shared" ref="Q28:Q33" si="4">SUMIF($D$71:$D$80,$L28,$E$71:$E$80)</f>
        <v>3</v>
      </c>
      <c r="R28" s="59">
        <f t="shared" ref="R28:R33" si="5">SUMIF($D$83:$D$96,$L28,$E$83:$E$96)</f>
        <v>2</v>
      </c>
      <c r="S28" s="59">
        <f t="shared" ref="S28:S33" si="6">SUMIF($D$99:$D$109,$L28,$E$99:$E$109)</f>
        <v>3</v>
      </c>
      <c r="V28" t="s">
        <v>228</v>
      </c>
    </row>
    <row r="29" spans="1:22" ht="15" thickBot="1" x14ac:dyDescent="0.35">
      <c r="A29" s="21" t="s">
        <v>60</v>
      </c>
      <c r="B29" s="22" t="s">
        <v>61</v>
      </c>
      <c r="C29" s="23" t="s">
        <v>62</v>
      </c>
      <c r="D29" s="24" t="s">
        <v>204</v>
      </c>
      <c r="E29" s="24">
        <v>1</v>
      </c>
      <c r="F29" s="24">
        <v>1</v>
      </c>
      <c r="G29" s="24" t="s">
        <v>219</v>
      </c>
      <c r="L29" s="58" t="s">
        <v>207</v>
      </c>
      <c r="M29" s="59">
        <f t="shared" si="0"/>
        <v>3</v>
      </c>
      <c r="N29" s="59">
        <f t="shared" si="1"/>
        <v>3</v>
      </c>
      <c r="O29" s="59">
        <f t="shared" si="2"/>
        <v>3</v>
      </c>
      <c r="P29" s="59">
        <f t="shared" si="3"/>
        <v>2</v>
      </c>
      <c r="Q29" s="59">
        <f t="shared" si="4"/>
        <v>3</v>
      </c>
      <c r="R29" s="59">
        <f t="shared" si="5"/>
        <v>3</v>
      </c>
      <c r="S29" s="59">
        <f t="shared" si="6"/>
        <v>3</v>
      </c>
      <c r="V29" t="s">
        <v>219</v>
      </c>
    </row>
    <row r="30" spans="1:22" ht="15" thickBot="1" x14ac:dyDescent="0.35">
      <c r="A30" s="21" t="s">
        <v>60</v>
      </c>
      <c r="B30" s="22" t="s">
        <v>63</v>
      </c>
      <c r="C30" s="23" t="s">
        <v>64</v>
      </c>
      <c r="D30" s="24" t="s">
        <v>229</v>
      </c>
      <c r="E30" s="24">
        <v>3</v>
      </c>
      <c r="F30" s="24">
        <v>3</v>
      </c>
      <c r="G30" s="24" t="s">
        <v>219</v>
      </c>
      <c r="L30" s="58" t="s">
        <v>205</v>
      </c>
      <c r="M30" s="59">
        <f t="shared" si="0"/>
        <v>3</v>
      </c>
      <c r="N30" s="59">
        <f t="shared" si="1"/>
        <v>3</v>
      </c>
      <c r="O30" s="59">
        <f t="shared" si="2"/>
        <v>3</v>
      </c>
      <c r="P30" s="59">
        <f t="shared" si="3"/>
        <v>1</v>
      </c>
      <c r="Q30" s="59">
        <f t="shared" si="4"/>
        <v>3</v>
      </c>
      <c r="R30" s="59">
        <f t="shared" si="5"/>
        <v>3</v>
      </c>
      <c r="S30" s="59">
        <f t="shared" si="6"/>
        <v>3</v>
      </c>
      <c r="V30" t="s">
        <v>230</v>
      </c>
    </row>
    <row r="31" spans="1:22" ht="15" thickBot="1" x14ac:dyDescent="0.35">
      <c r="A31" s="21" t="s">
        <v>60</v>
      </c>
      <c r="B31" s="22" t="s">
        <v>65</v>
      </c>
      <c r="C31" s="23" t="s">
        <v>66</v>
      </c>
      <c r="D31" s="24" t="s">
        <v>204</v>
      </c>
      <c r="E31" s="24">
        <v>1</v>
      </c>
      <c r="F31" s="24">
        <v>1</v>
      </c>
      <c r="G31" s="24" t="s">
        <v>219</v>
      </c>
      <c r="L31" s="58" t="s">
        <v>209</v>
      </c>
      <c r="M31" s="59">
        <f t="shared" si="0"/>
        <v>3</v>
      </c>
      <c r="N31" s="59">
        <f t="shared" si="1"/>
        <v>3</v>
      </c>
      <c r="O31" s="59">
        <f t="shared" si="2"/>
        <v>3</v>
      </c>
      <c r="P31" s="59">
        <f t="shared" si="3"/>
        <v>3</v>
      </c>
      <c r="Q31" s="59">
        <f t="shared" si="4"/>
        <v>3</v>
      </c>
      <c r="R31" s="59">
        <f t="shared" si="5"/>
        <v>5</v>
      </c>
      <c r="S31" s="59">
        <f t="shared" si="6"/>
        <v>3</v>
      </c>
    </row>
    <row r="32" spans="1:22" ht="15" thickBot="1" x14ac:dyDescent="0.35">
      <c r="A32" s="21" t="s">
        <v>60</v>
      </c>
      <c r="B32" s="22" t="s">
        <v>67</v>
      </c>
      <c r="C32" s="23" t="s">
        <v>68</v>
      </c>
      <c r="D32" s="24" t="s">
        <v>208</v>
      </c>
      <c r="E32" s="24">
        <v>3</v>
      </c>
      <c r="F32" s="24">
        <v>3</v>
      </c>
      <c r="G32" s="24" t="s">
        <v>219</v>
      </c>
      <c r="L32" s="58" t="s">
        <v>208</v>
      </c>
      <c r="M32" s="59">
        <f t="shared" si="0"/>
        <v>3</v>
      </c>
      <c r="N32" s="59">
        <f t="shared" si="1"/>
        <v>3</v>
      </c>
      <c r="O32" s="59">
        <f t="shared" si="2"/>
        <v>3</v>
      </c>
      <c r="P32" s="59">
        <f t="shared" si="3"/>
        <v>2</v>
      </c>
      <c r="Q32" s="59">
        <f t="shared" si="4"/>
        <v>3</v>
      </c>
      <c r="R32" s="59">
        <f t="shared" si="5"/>
        <v>3</v>
      </c>
      <c r="S32" s="59">
        <f t="shared" si="6"/>
        <v>3</v>
      </c>
    </row>
    <row r="33" spans="1:19" ht="15" thickBot="1" x14ac:dyDescent="0.35">
      <c r="A33" s="21" t="s">
        <v>60</v>
      </c>
      <c r="B33" s="22" t="s">
        <v>69</v>
      </c>
      <c r="C33" s="23" t="s">
        <v>70</v>
      </c>
      <c r="D33" s="24" t="s">
        <v>205</v>
      </c>
      <c r="E33" s="24">
        <v>1</v>
      </c>
      <c r="F33" s="24">
        <v>1</v>
      </c>
      <c r="G33" s="24" t="s">
        <v>219</v>
      </c>
      <c r="L33" s="58" t="s">
        <v>229</v>
      </c>
      <c r="M33" s="59">
        <f t="shared" si="0"/>
        <v>3</v>
      </c>
      <c r="N33" s="59">
        <f t="shared" si="1"/>
        <v>3</v>
      </c>
      <c r="O33" s="59">
        <f t="shared" si="2"/>
        <v>3</v>
      </c>
      <c r="P33" s="59">
        <f t="shared" si="3"/>
        <v>1</v>
      </c>
      <c r="Q33" s="59">
        <f t="shared" si="4"/>
        <v>2</v>
      </c>
      <c r="R33" s="59">
        <f t="shared" si="5"/>
        <v>1</v>
      </c>
      <c r="S33" s="59">
        <f t="shared" si="6"/>
        <v>3</v>
      </c>
    </row>
    <row r="34" spans="1:19" ht="15.75" customHeight="1" thickBot="1" x14ac:dyDescent="0.35">
      <c r="A34" s="29"/>
      <c r="B34" s="30" t="s">
        <v>137</v>
      </c>
      <c r="C34" s="31"/>
      <c r="D34" s="31"/>
      <c r="E34" s="32">
        <f>SUM(E21:E33)</f>
        <v>21</v>
      </c>
      <c r="F34" s="32">
        <f>SUM(F21:F33)</f>
        <v>21</v>
      </c>
      <c r="G34" s="31"/>
    </row>
    <row r="35" spans="1:19" ht="15.75" customHeight="1" thickBot="1" x14ac:dyDescent="0.35">
      <c r="A35" s="79" t="s">
        <v>231</v>
      </c>
      <c r="B35" s="80"/>
      <c r="C35" s="80"/>
      <c r="D35" s="80"/>
      <c r="E35" s="80"/>
      <c r="F35" s="80"/>
      <c r="G35" s="81"/>
    </row>
    <row r="36" spans="1:19" ht="15.75" customHeight="1" thickBot="1" x14ac:dyDescent="0.35">
      <c r="A36" s="21" t="s">
        <v>232</v>
      </c>
      <c r="B36" s="23" t="s">
        <v>233</v>
      </c>
      <c r="C36" s="23" t="s">
        <v>234</v>
      </c>
      <c r="D36" s="23" t="s">
        <v>208</v>
      </c>
      <c r="E36" s="24">
        <v>1</v>
      </c>
      <c r="F36" s="24">
        <v>1</v>
      </c>
      <c r="G36" s="24" t="s">
        <v>219</v>
      </c>
    </row>
    <row r="37" spans="1:19" ht="15" thickBot="1" x14ac:dyDescent="0.35">
      <c r="A37" s="21" t="s">
        <v>138</v>
      </c>
      <c r="B37" s="23" t="s">
        <v>139</v>
      </c>
      <c r="C37" s="23" t="s">
        <v>140</v>
      </c>
      <c r="D37" s="23" t="s">
        <v>204</v>
      </c>
      <c r="E37" s="24">
        <v>2</v>
      </c>
      <c r="F37" s="24">
        <v>2</v>
      </c>
      <c r="G37" s="24" t="s">
        <v>53</v>
      </c>
    </row>
    <row r="38" spans="1:19" ht="15" thickBot="1" x14ac:dyDescent="0.35">
      <c r="A38" s="21" t="s">
        <v>138</v>
      </c>
      <c r="B38" s="23" t="s">
        <v>141</v>
      </c>
      <c r="C38" s="23" t="s">
        <v>142</v>
      </c>
      <c r="D38" s="23" t="s">
        <v>209</v>
      </c>
      <c r="E38" s="24">
        <v>3</v>
      </c>
      <c r="F38" s="24">
        <v>3</v>
      </c>
      <c r="G38" s="24" t="s">
        <v>53</v>
      </c>
    </row>
    <row r="39" spans="1:19" ht="15" thickBot="1" x14ac:dyDescent="0.35">
      <c r="A39" s="21" t="s">
        <v>138</v>
      </c>
      <c r="B39" s="23" t="s">
        <v>143</v>
      </c>
      <c r="C39" s="23" t="s">
        <v>144</v>
      </c>
      <c r="D39" s="23" t="s">
        <v>207</v>
      </c>
      <c r="E39" s="24">
        <v>3</v>
      </c>
      <c r="F39" s="24">
        <v>3</v>
      </c>
      <c r="G39" s="24" t="s">
        <v>53</v>
      </c>
    </row>
    <row r="40" spans="1:19" ht="15" thickBot="1" x14ac:dyDescent="0.35">
      <c r="A40" s="21" t="s">
        <v>138</v>
      </c>
      <c r="B40" s="23" t="s">
        <v>145</v>
      </c>
      <c r="C40" s="23" t="s">
        <v>146</v>
      </c>
      <c r="D40" s="23" t="s">
        <v>208</v>
      </c>
      <c r="E40" s="24">
        <v>2</v>
      </c>
      <c r="F40" s="24">
        <v>2</v>
      </c>
      <c r="G40" s="24" t="s">
        <v>53</v>
      </c>
    </row>
    <row r="41" spans="1:19" ht="15" thickBot="1" x14ac:dyDescent="0.35">
      <c r="A41" s="21" t="s">
        <v>138</v>
      </c>
      <c r="B41" s="23" t="s">
        <v>147</v>
      </c>
      <c r="C41" s="23" t="s">
        <v>148</v>
      </c>
      <c r="D41" s="23" t="s">
        <v>229</v>
      </c>
      <c r="E41" s="24">
        <v>3</v>
      </c>
      <c r="F41" s="24">
        <v>3</v>
      </c>
      <c r="G41" s="24" t="s">
        <v>53</v>
      </c>
    </row>
    <row r="42" spans="1:19" ht="15" thickBot="1" x14ac:dyDescent="0.35">
      <c r="A42" s="21" t="s">
        <v>138</v>
      </c>
      <c r="B42" s="23" t="s">
        <v>149</v>
      </c>
      <c r="C42" s="23" t="s">
        <v>150</v>
      </c>
      <c r="D42" s="23" t="s">
        <v>206</v>
      </c>
      <c r="E42" s="24">
        <v>2</v>
      </c>
      <c r="F42" s="24">
        <v>2</v>
      </c>
      <c r="G42" s="24" t="s">
        <v>53</v>
      </c>
    </row>
    <row r="43" spans="1:19" ht="15" thickBot="1" x14ac:dyDescent="0.35">
      <c r="A43" s="25" t="s">
        <v>187</v>
      </c>
      <c r="B43" s="27" t="s">
        <v>188</v>
      </c>
      <c r="C43" s="27" t="s">
        <v>189</v>
      </c>
      <c r="D43" s="27" t="s">
        <v>205</v>
      </c>
      <c r="E43" s="28">
        <v>2</v>
      </c>
      <c r="F43" s="28">
        <v>2</v>
      </c>
      <c r="G43" s="28" t="s">
        <v>53</v>
      </c>
    </row>
    <row r="44" spans="1:19" ht="15" thickBot="1" x14ac:dyDescent="0.35">
      <c r="A44" s="25" t="s">
        <v>187</v>
      </c>
      <c r="B44" s="27" t="s">
        <v>190</v>
      </c>
      <c r="C44" s="27" t="s">
        <v>191</v>
      </c>
      <c r="D44" s="27" t="s">
        <v>206</v>
      </c>
      <c r="E44" s="28">
        <v>3</v>
      </c>
      <c r="F44" s="28">
        <v>3</v>
      </c>
      <c r="G44" s="28" t="s">
        <v>53</v>
      </c>
    </row>
    <row r="45" spans="1:19" ht="15" thickBot="1" x14ac:dyDescent="0.35">
      <c r="A45" s="25" t="s">
        <v>187</v>
      </c>
      <c r="B45" s="27" t="s">
        <v>192</v>
      </c>
      <c r="C45" s="27" t="s">
        <v>193</v>
      </c>
      <c r="D45" s="27" t="s">
        <v>205</v>
      </c>
      <c r="E45" s="28">
        <v>1</v>
      </c>
      <c r="F45" s="28">
        <v>1</v>
      </c>
      <c r="G45" s="28" t="s">
        <v>53</v>
      </c>
    </row>
    <row r="46" spans="1:19" ht="15" thickBot="1" x14ac:dyDescent="0.35">
      <c r="A46" s="25" t="s">
        <v>187</v>
      </c>
      <c r="B46" s="27" t="s">
        <v>194</v>
      </c>
      <c r="C46" s="27" t="s">
        <v>195</v>
      </c>
      <c r="D46" s="27" t="s">
        <v>204</v>
      </c>
      <c r="E46" s="28">
        <v>1</v>
      </c>
      <c r="F46" s="28">
        <v>1</v>
      </c>
      <c r="G46" s="28" t="s">
        <v>53</v>
      </c>
    </row>
    <row r="47" spans="1:19" ht="15.75" customHeight="1" thickBot="1" x14ac:dyDescent="0.35">
      <c r="A47" s="60"/>
      <c r="B47" s="30" t="s">
        <v>151</v>
      </c>
      <c r="C47" s="61"/>
      <c r="D47" s="61"/>
      <c r="E47" s="32">
        <f>SUM(E37:E46)</f>
        <v>22</v>
      </c>
      <c r="F47" s="32">
        <v>22</v>
      </c>
      <c r="G47" s="61"/>
    </row>
    <row r="48" spans="1:19" ht="15.75" customHeight="1" thickBot="1" x14ac:dyDescent="0.35">
      <c r="A48" s="79" t="s">
        <v>152</v>
      </c>
      <c r="B48" s="80"/>
      <c r="C48" s="80"/>
      <c r="D48" s="80"/>
      <c r="E48" s="80"/>
      <c r="F48" s="80"/>
      <c r="G48" s="81"/>
    </row>
    <row r="49" spans="1:7" ht="15.75" customHeight="1" thickBot="1" x14ac:dyDescent="0.35">
      <c r="A49" s="21" t="s">
        <v>153</v>
      </c>
      <c r="B49" s="23" t="s">
        <v>154</v>
      </c>
      <c r="C49" s="23" t="s">
        <v>155</v>
      </c>
      <c r="D49" s="23" t="s">
        <v>204</v>
      </c>
      <c r="E49" s="24">
        <v>1</v>
      </c>
      <c r="F49" s="24">
        <v>1</v>
      </c>
      <c r="G49" s="24" t="s">
        <v>53</v>
      </c>
    </row>
    <row r="50" spans="1:7" ht="15.75" customHeight="1" thickBot="1" x14ac:dyDescent="0.35">
      <c r="A50" s="21" t="s">
        <v>153</v>
      </c>
      <c r="B50" s="23" t="s">
        <v>156</v>
      </c>
      <c r="C50" s="23" t="s">
        <v>157</v>
      </c>
      <c r="D50" s="23" t="s">
        <v>209</v>
      </c>
      <c r="E50" s="24">
        <v>2</v>
      </c>
      <c r="F50" s="24">
        <v>2</v>
      </c>
      <c r="G50" s="24" t="s">
        <v>53</v>
      </c>
    </row>
    <row r="51" spans="1:7" ht="15.75" customHeight="1" thickBot="1" x14ac:dyDescent="0.35">
      <c r="A51" s="21" t="s">
        <v>153</v>
      </c>
      <c r="B51" s="23" t="s">
        <v>158</v>
      </c>
      <c r="C51" s="23" t="s">
        <v>159</v>
      </c>
      <c r="D51" s="23" t="s">
        <v>205</v>
      </c>
      <c r="E51" s="24">
        <v>3</v>
      </c>
      <c r="F51" s="24">
        <v>3</v>
      </c>
      <c r="G51" s="24" t="s">
        <v>53</v>
      </c>
    </row>
    <row r="52" spans="1:7" ht="15.75" customHeight="1" thickBot="1" x14ac:dyDescent="0.35">
      <c r="A52" s="21" t="s">
        <v>153</v>
      </c>
      <c r="B52" s="23" t="s">
        <v>160</v>
      </c>
      <c r="C52" s="23" t="s">
        <v>161</v>
      </c>
      <c r="D52" s="23" t="s">
        <v>207</v>
      </c>
      <c r="E52" s="24">
        <v>1</v>
      </c>
      <c r="F52" s="24">
        <v>1</v>
      </c>
      <c r="G52" s="24" t="s">
        <v>53</v>
      </c>
    </row>
    <row r="53" spans="1:7" ht="15.75" customHeight="1" thickBot="1" x14ac:dyDescent="0.35">
      <c r="A53" s="21" t="s">
        <v>162</v>
      </c>
      <c r="B53" s="23" t="s">
        <v>163</v>
      </c>
      <c r="C53" s="23" t="s">
        <v>164</v>
      </c>
      <c r="D53" s="23" t="s">
        <v>204</v>
      </c>
      <c r="E53" s="24">
        <v>2</v>
      </c>
      <c r="F53" s="24">
        <v>2</v>
      </c>
      <c r="G53" s="24" t="s">
        <v>53</v>
      </c>
    </row>
    <row r="54" spans="1:7" ht="15.75" customHeight="1" thickBot="1" x14ac:dyDescent="0.35">
      <c r="A54" s="21" t="s">
        <v>162</v>
      </c>
      <c r="B54" s="23" t="s">
        <v>165</v>
      </c>
      <c r="C54" s="23" t="s">
        <v>166</v>
      </c>
      <c r="D54" s="23" t="s">
        <v>206</v>
      </c>
      <c r="E54" s="24">
        <v>3</v>
      </c>
      <c r="F54" s="24">
        <v>3</v>
      </c>
      <c r="G54" s="24" t="s">
        <v>53</v>
      </c>
    </row>
    <row r="55" spans="1:7" ht="15.75" customHeight="1" thickBot="1" x14ac:dyDescent="0.35">
      <c r="A55" s="21" t="s">
        <v>162</v>
      </c>
      <c r="B55" s="23" t="s">
        <v>167</v>
      </c>
      <c r="C55" s="23" t="s">
        <v>168</v>
      </c>
      <c r="D55" s="23" t="s">
        <v>209</v>
      </c>
      <c r="E55" s="24">
        <v>1</v>
      </c>
      <c r="F55" s="24">
        <v>1</v>
      </c>
      <c r="G55" s="24" t="s">
        <v>53</v>
      </c>
    </row>
    <row r="56" spans="1:7" ht="15.75" customHeight="1" thickBot="1" x14ac:dyDescent="0.35">
      <c r="A56" s="25" t="s">
        <v>169</v>
      </c>
      <c r="B56" s="27" t="s">
        <v>170</v>
      </c>
      <c r="C56" s="27" t="s">
        <v>171</v>
      </c>
      <c r="D56" s="27" t="s">
        <v>207</v>
      </c>
      <c r="E56" s="28">
        <v>2</v>
      </c>
      <c r="F56" s="28">
        <v>2</v>
      </c>
      <c r="G56" s="28" t="s">
        <v>53</v>
      </c>
    </row>
    <row r="57" spans="1:7" ht="15.75" customHeight="1" thickBot="1" x14ac:dyDescent="0.35">
      <c r="A57" s="25" t="s">
        <v>169</v>
      </c>
      <c r="B57" s="27" t="s">
        <v>172</v>
      </c>
      <c r="C57" s="27" t="s">
        <v>173</v>
      </c>
      <c r="D57" s="27" t="s">
        <v>208</v>
      </c>
      <c r="E57" s="28">
        <v>2</v>
      </c>
      <c r="F57" s="28">
        <v>2</v>
      </c>
      <c r="G57" s="28" t="s">
        <v>53</v>
      </c>
    </row>
    <row r="58" spans="1:7" ht="15.75" customHeight="1" thickBot="1" x14ac:dyDescent="0.35">
      <c r="A58" s="25" t="s">
        <v>169</v>
      </c>
      <c r="B58" s="27" t="s">
        <v>174</v>
      </c>
      <c r="C58" s="27" t="s">
        <v>175</v>
      </c>
      <c r="D58" s="27" t="s">
        <v>229</v>
      </c>
      <c r="E58" s="28">
        <v>3</v>
      </c>
      <c r="F58" s="28">
        <v>3</v>
      </c>
      <c r="G58" s="28" t="s">
        <v>53</v>
      </c>
    </row>
    <row r="59" spans="1:7" ht="15.75" customHeight="1" thickBot="1" x14ac:dyDescent="0.35">
      <c r="A59" s="25" t="s">
        <v>169</v>
      </c>
      <c r="B59" s="27" t="s">
        <v>176</v>
      </c>
      <c r="C59" s="27" t="s">
        <v>177</v>
      </c>
      <c r="D59" s="27" t="s">
        <v>208</v>
      </c>
      <c r="E59" s="28">
        <v>1</v>
      </c>
      <c r="F59" s="28">
        <v>1</v>
      </c>
      <c r="G59" s="28" t="s">
        <v>53</v>
      </c>
    </row>
    <row r="60" spans="1:7" ht="15.75" customHeight="1" thickBot="1" x14ac:dyDescent="0.35">
      <c r="A60" s="60"/>
      <c r="B60" s="30" t="s">
        <v>178</v>
      </c>
      <c r="C60" s="61"/>
      <c r="D60" s="61"/>
      <c r="E60" s="32">
        <f>SUM(E49:E59)</f>
        <v>21</v>
      </c>
      <c r="F60" s="32">
        <v>21</v>
      </c>
      <c r="G60" s="61"/>
    </row>
    <row r="61" spans="1:7" ht="15.75" customHeight="1" thickBot="1" x14ac:dyDescent="0.35">
      <c r="A61" s="79" t="s">
        <v>235</v>
      </c>
      <c r="B61" s="80"/>
      <c r="C61" s="80"/>
      <c r="D61" s="80"/>
      <c r="E61" s="80"/>
      <c r="F61" s="80"/>
      <c r="G61" s="81"/>
    </row>
    <row r="62" spans="1:7" ht="15.75" customHeight="1" thickBot="1" x14ac:dyDescent="0.35">
      <c r="A62" s="21" t="s">
        <v>179</v>
      </c>
      <c r="B62" s="23" t="s">
        <v>180</v>
      </c>
      <c r="C62" s="23" t="s">
        <v>181</v>
      </c>
      <c r="D62" s="23" t="s">
        <v>204</v>
      </c>
      <c r="E62" s="24">
        <v>2</v>
      </c>
      <c r="F62" s="24">
        <v>2</v>
      </c>
      <c r="G62" s="24" t="s">
        <v>53</v>
      </c>
    </row>
    <row r="63" spans="1:7" ht="15.75" customHeight="1" thickBot="1" x14ac:dyDescent="0.35">
      <c r="A63" s="21" t="s">
        <v>179</v>
      </c>
      <c r="B63" s="23" t="s">
        <v>182</v>
      </c>
      <c r="C63" s="23" t="s">
        <v>183</v>
      </c>
      <c r="D63" s="23" t="s">
        <v>209</v>
      </c>
      <c r="E63" s="24">
        <v>3</v>
      </c>
      <c r="F63" s="24">
        <v>3</v>
      </c>
      <c r="G63" s="24" t="s">
        <v>53</v>
      </c>
    </row>
    <row r="64" spans="1:7" ht="15.75" customHeight="1" thickBot="1" x14ac:dyDescent="0.35">
      <c r="A64" s="21" t="s">
        <v>179</v>
      </c>
      <c r="B64" s="23" t="s">
        <v>184</v>
      </c>
      <c r="C64" s="23" t="s">
        <v>185</v>
      </c>
      <c r="D64" s="23" t="s">
        <v>205</v>
      </c>
      <c r="E64" s="24">
        <v>1</v>
      </c>
      <c r="F64" s="24">
        <v>1</v>
      </c>
      <c r="G64" s="24" t="s">
        <v>53</v>
      </c>
    </row>
    <row r="65" spans="1:7" ht="15" thickBot="1" x14ac:dyDescent="0.35">
      <c r="A65" s="62" t="s">
        <v>340</v>
      </c>
      <c r="B65" s="63" t="s">
        <v>342</v>
      </c>
      <c r="C65" s="63" t="s">
        <v>236</v>
      </c>
      <c r="D65" s="63" t="s">
        <v>206</v>
      </c>
      <c r="E65" s="64">
        <v>2</v>
      </c>
      <c r="F65" s="64">
        <v>2</v>
      </c>
      <c r="G65" s="64" t="s">
        <v>53</v>
      </c>
    </row>
    <row r="66" spans="1:7" ht="15.75" customHeight="1" thickBot="1" x14ac:dyDescent="0.35">
      <c r="A66" s="62" t="s">
        <v>340</v>
      </c>
      <c r="B66" s="63" t="s">
        <v>343</v>
      </c>
      <c r="C66" s="63" t="s">
        <v>237</v>
      </c>
      <c r="D66" s="63" t="s">
        <v>208</v>
      </c>
      <c r="E66" s="64">
        <v>2</v>
      </c>
      <c r="F66" s="64">
        <v>2</v>
      </c>
      <c r="G66" s="64" t="s">
        <v>53</v>
      </c>
    </row>
    <row r="67" spans="1:7" ht="15" thickBot="1" x14ac:dyDescent="0.35">
      <c r="A67" s="62" t="s">
        <v>341</v>
      </c>
      <c r="B67" s="63" t="s">
        <v>344</v>
      </c>
      <c r="C67" s="63" t="s">
        <v>238</v>
      </c>
      <c r="D67" s="63" t="s">
        <v>229</v>
      </c>
      <c r="E67" s="64">
        <v>1</v>
      </c>
      <c r="F67" s="64">
        <v>1</v>
      </c>
      <c r="G67" s="64" t="s">
        <v>53</v>
      </c>
    </row>
    <row r="68" spans="1:7" ht="15" thickBot="1" x14ac:dyDescent="0.35">
      <c r="A68" s="62" t="s">
        <v>340</v>
      </c>
      <c r="B68" s="63" t="s">
        <v>345</v>
      </c>
      <c r="C68" s="63" t="s">
        <v>239</v>
      </c>
      <c r="D68" s="63" t="s">
        <v>207</v>
      </c>
      <c r="E68" s="64">
        <v>2</v>
      </c>
      <c r="F68" s="64">
        <v>2</v>
      </c>
      <c r="G68" s="64" t="s">
        <v>53</v>
      </c>
    </row>
    <row r="69" spans="1:7" ht="15" thickBot="1" x14ac:dyDescent="0.35">
      <c r="A69" s="60"/>
      <c r="B69" s="30" t="s">
        <v>186</v>
      </c>
      <c r="C69" s="61"/>
      <c r="D69" s="61"/>
      <c r="E69" s="32">
        <f>SUM(E62:E68)</f>
        <v>13</v>
      </c>
      <c r="F69" s="32">
        <v>13</v>
      </c>
      <c r="G69" s="61"/>
    </row>
    <row r="70" spans="1:7" ht="15" thickBot="1" x14ac:dyDescent="0.35">
      <c r="A70" s="79" t="s">
        <v>240</v>
      </c>
      <c r="B70" s="80"/>
      <c r="C70" s="80"/>
      <c r="D70" s="80"/>
      <c r="E70" s="80"/>
      <c r="F70" s="80"/>
      <c r="G70" s="81"/>
    </row>
    <row r="71" spans="1:7" ht="15" thickBot="1" x14ac:dyDescent="0.35">
      <c r="A71" s="21" t="s">
        <v>241</v>
      </c>
      <c r="B71" s="23" t="s">
        <v>242</v>
      </c>
      <c r="C71" s="23" t="s">
        <v>243</v>
      </c>
      <c r="D71" s="23" t="s">
        <v>204</v>
      </c>
      <c r="E71" s="24">
        <v>3</v>
      </c>
      <c r="F71" s="24">
        <v>3</v>
      </c>
      <c r="G71" s="24" t="s">
        <v>53</v>
      </c>
    </row>
    <row r="72" spans="1:7" ht="15" thickBot="1" x14ac:dyDescent="0.35">
      <c r="A72" s="21" t="s">
        <v>241</v>
      </c>
      <c r="B72" s="23" t="s">
        <v>244</v>
      </c>
      <c r="C72" s="23" t="s">
        <v>245</v>
      </c>
      <c r="D72" s="23" t="s">
        <v>206</v>
      </c>
      <c r="E72" s="24">
        <v>2</v>
      </c>
      <c r="F72" s="24">
        <v>2</v>
      </c>
      <c r="G72" s="24" t="s">
        <v>53</v>
      </c>
    </row>
    <row r="73" spans="1:7" ht="15" thickBot="1" x14ac:dyDescent="0.35">
      <c r="A73" s="21" t="s">
        <v>241</v>
      </c>
      <c r="B73" s="23" t="s">
        <v>246</v>
      </c>
      <c r="C73" s="23" t="s">
        <v>247</v>
      </c>
      <c r="D73" s="23" t="s">
        <v>206</v>
      </c>
      <c r="E73" s="24">
        <v>1</v>
      </c>
      <c r="F73" s="24">
        <v>1</v>
      </c>
      <c r="G73" s="24" t="s">
        <v>53</v>
      </c>
    </row>
    <row r="74" spans="1:7" ht="15" thickBot="1" x14ac:dyDescent="0.35">
      <c r="A74" s="25" t="s">
        <v>248</v>
      </c>
      <c r="B74" s="27" t="s">
        <v>249</v>
      </c>
      <c r="C74" s="27" t="s">
        <v>250</v>
      </c>
      <c r="D74" s="27" t="s">
        <v>205</v>
      </c>
      <c r="E74" s="28">
        <v>3</v>
      </c>
      <c r="F74" s="28">
        <v>3</v>
      </c>
      <c r="G74" s="28" t="s">
        <v>53</v>
      </c>
    </row>
    <row r="75" spans="1:7" ht="15" thickBot="1" x14ac:dyDescent="0.35">
      <c r="A75" s="25" t="s">
        <v>248</v>
      </c>
      <c r="B75" s="27" t="s">
        <v>251</v>
      </c>
      <c r="C75" s="27" t="s">
        <v>252</v>
      </c>
      <c r="D75" s="27" t="s">
        <v>209</v>
      </c>
      <c r="E75" s="28">
        <v>2</v>
      </c>
      <c r="F75" s="28">
        <v>2</v>
      </c>
      <c r="G75" s="28" t="s">
        <v>53</v>
      </c>
    </row>
    <row r="76" spans="1:7" ht="15" thickBot="1" x14ac:dyDescent="0.35">
      <c r="A76" s="25" t="s">
        <v>248</v>
      </c>
      <c r="B76" s="27" t="s">
        <v>253</v>
      </c>
      <c r="C76" s="27" t="s">
        <v>254</v>
      </c>
      <c r="D76" s="27" t="s">
        <v>208</v>
      </c>
      <c r="E76" s="28">
        <v>2</v>
      </c>
      <c r="F76" s="28">
        <v>2</v>
      </c>
      <c r="G76" s="28" t="s">
        <v>53</v>
      </c>
    </row>
    <row r="77" spans="1:7" ht="15.75" customHeight="1" thickBot="1" x14ac:dyDescent="0.35">
      <c r="A77" s="25" t="s">
        <v>248</v>
      </c>
      <c r="B77" s="27" t="s">
        <v>255</v>
      </c>
      <c r="C77" s="27" t="s">
        <v>256</v>
      </c>
      <c r="D77" s="27" t="s">
        <v>209</v>
      </c>
      <c r="E77" s="28">
        <v>1</v>
      </c>
      <c r="F77" s="28">
        <v>1</v>
      </c>
      <c r="G77" s="28" t="s">
        <v>53</v>
      </c>
    </row>
    <row r="78" spans="1:7" ht="15.75" customHeight="1" thickBot="1" x14ac:dyDescent="0.35">
      <c r="A78" s="25" t="s">
        <v>257</v>
      </c>
      <c r="B78" s="27" t="s">
        <v>258</v>
      </c>
      <c r="C78" s="27" t="s">
        <v>259</v>
      </c>
      <c r="D78" s="27" t="s">
        <v>229</v>
      </c>
      <c r="E78" s="28">
        <v>2</v>
      </c>
      <c r="F78" s="28">
        <v>2</v>
      </c>
      <c r="G78" s="28" t="s">
        <v>53</v>
      </c>
    </row>
    <row r="79" spans="1:7" ht="15" thickBot="1" x14ac:dyDescent="0.35">
      <c r="A79" s="25" t="s">
        <v>257</v>
      </c>
      <c r="B79" s="27" t="s">
        <v>260</v>
      </c>
      <c r="C79" s="27" t="s">
        <v>261</v>
      </c>
      <c r="D79" s="27" t="s">
        <v>207</v>
      </c>
      <c r="E79" s="28">
        <v>3</v>
      </c>
      <c r="F79" s="28">
        <v>3</v>
      </c>
      <c r="G79" s="28" t="s">
        <v>53</v>
      </c>
    </row>
    <row r="80" spans="1:7" ht="15" thickBot="1" x14ac:dyDescent="0.35">
      <c r="A80" s="25" t="s">
        <v>257</v>
      </c>
      <c r="B80" s="27" t="s">
        <v>262</v>
      </c>
      <c r="C80" s="27" t="s">
        <v>263</v>
      </c>
      <c r="D80" s="27" t="s">
        <v>208</v>
      </c>
      <c r="E80" s="28">
        <v>1</v>
      </c>
      <c r="F80" s="28">
        <v>1</v>
      </c>
      <c r="G80" s="28" t="s">
        <v>53</v>
      </c>
    </row>
    <row r="81" spans="1:7" ht="15" thickBot="1" x14ac:dyDescent="0.35">
      <c r="A81" s="60"/>
      <c r="B81" s="30" t="s">
        <v>264</v>
      </c>
      <c r="C81" s="61"/>
      <c r="D81" s="61"/>
      <c r="E81" s="32">
        <f>SUM(E71:E80)</f>
        <v>20</v>
      </c>
      <c r="F81" s="32">
        <v>20</v>
      </c>
      <c r="G81" s="61"/>
    </row>
    <row r="82" spans="1:7" ht="15" thickBot="1" x14ac:dyDescent="0.35">
      <c r="A82" s="79" t="s">
        <v>265</v>
      </c>
      <c r="B82" s="80"/>
      <c r="C82" s="80"/>
      <c r="D82" s="80"/>
      <c r="E82" s="80"/>
      <c r="F82" s="80"/>
      <c r="G82" s="81"/>
    </row>
    <row r="83" spans="1:7" ht="15" thickBot="1" x14ac:dyDescent="0.35">
      <c r="A83" s="21" t="s">
        <v>266</v>
      </c>
      <c r="B83" s="23" t="s">
        <v>267</v>
      </c>
      <c r="C83" s="23" t="s">
        <v>268</v>
      </c>
      <c r="D83" s="23" t="s">
        <v>204</v>
      </c>
      <c r="E83" s="24">
        <v>2</v>
      </c>
      <c r="F83" s="24">
        <v>2</v>
      </c>
      <c r="G83" s="24" t="s">
        <v>53</v>
      </c>
    </row>
    <row r="84" spans="1:7" ht="15" thickBot="1" x14ac:dyDescent="0.35">
      <c r="A84" s="21" t="s">
        <v>266</v>
      </c>
      <c r="B84" s="23" t="s">
        <v>269</v>
      </c>
      <c r="C84" s="23" t="s">
        <v>270</v>
      </c>
      <c r="D84" s="23" t="s">
        <v>204</v>
      </c>
      <c r="E84" s="24">
        <v>1</v>
      </c>
      <c r="F84" s="24">
        <v>1</v>
      </c>
      <c r="G84" s="24" t="s">
        <v>53</v>
      </c>
    </row>
    <row r="85" spans="1:7" ht="15" thickBot="1" x14ac:dyDescent="0.35">
      <c r="A85" s="21" t="s">
        <v>266</v>
      </c>
      <c r="B85" s="23" t="s">
        <v>271</v>
      </c>
      <c r="C85" s="23" t="s">
        <v>272</v>
      </c>
      <c r="D85" s="23" t="s">
        <v>205</v>
      </c>
      <c r="E85" s="24">
        <v>2</v>
      </c>
      <c r="F85" s="24">
        <v>2</v>
      </c>
      <c r="G85" s="24" t="s">
        <v>53</v>
      </c>
    </row>
    <row r="86" spans="1:7" ht="15" thickBot="1" x14ac:dyDescent="0.35">
      <c r="A86" s="21" t="s">
        <v>266</v>
      </c>
      <c r="B86" s="23" t="s">
        <v>273</v>
      </c>
      <c r="C86" s="23" t="s">
        <v>274</v>
      </c>
      <c r="D86" s="23" t="s">
        <v>205</v>
      </c>
      <c r="E86" s="24">
        <v>1</v>
      </c>
      <c r="F86" s="24">
        <v>1</v>
      </c>
      <c r="G86" s="24" t="s">
        <v>53</v>
      </c>
    </row>
    <row r="87" spans="1:7" ht="15" thickBot="1" x14ac:dyDescent="0.35">
      <c r="A87" s="21" t="s">
        <v>275</v>
      </c>
      <c r="B87" s="23" t="s">
        <v>276</v>
      </c>
      <c r="C87" s="23" t="s">
        <v>277</v>
      </c>
      <c r="D87" s="23" t="s">
        <v>209</v>
      </c>
      <c r="E87" s="24">
        <v>1</v>
      </c>
      <c r="F87" s="24">
        <v>1</v>
      </c>
      <c r="G87" s="24" t="s">
        <v>53</v>
      </c>
    </row>
    <row r="88" spans="1:7" ht="15" thickBot="1" x14ac:dyDescent="0.35">
      <c r="A88" s="21" t="s">
        <v>275</v>
      </c>
      <c r="B88" s="23" t="s">
        <v>278</v>
      </c>
      <c r="C88" s="23" t="s">
        <v>279</v>
      </c>
      <c r="D88" s="23" t="s">
        <v>209</v>
      </c>
      <c r="E88" s="24">
        <v>2</v>
      </c>
      <c r="F88" s="24">
        <v>2</v>
      </c>
      <c r="G88" s="24" t="s">
        <v>53</v>
      </c>
    </row>
    <row r="89" spans="1:7" ht="15" thickBot="1" x14ac:dyDescent="0.35">
      <c r="A89" s="21" t="s">
        <v>275</v>
      </c>
      <c r="B89" s="23" t="s">
        <v>280</v>
      </c>
      <c r="C89" s="23" t="s">
        <v>281</v>
      </c>
      <c r="D89" s="23" t="s">
        <v>207</v>
      </c>
      <c r="E89" s="24">
        <v>1</v>
      </c>
      <c r="F89" s="24">
        <v>1</v>
      </c>
      <c r="G89" s="24" t="s">
        <v>53</v>
      </c>
    </row>
    <row r="90" spans="1:7" ht="15" thickBot="1" x14ac:dyDescent="0.35">
      <c r="A90" s="21" t="s">
        <v>282</v>
      </c>
      <c r="B90" s="23" t="s">
        <v>283</v>
      </c>
      <c r="C90" s="23" t="s">
        <v>284</v>
      </c>
      <c r="D90" s="23" t="s">
        <v>207</v>
      </c>
      <c r="E90" s="24">
        <v>2</v>
      </c>
      <c r="F90" s="24">
        <v>2</v>
      </c>
      <c r="G90" s="24" t="s">
        <v>53</v>
      </c>
    </row>
    <row r="91" spans="1:7" ht="15" thickBot="1" x14ac:dyDescent="0.35">
      <c r="A91" s="21" t="s">
        <v>282</v>
      </c>
      <c r="B91" s="23" t="s">
        <v>285</v>
      </c>
      <c r="C91" s="23" t="s">
        <v>286</v>
      </c>
      <c r="D91" s="23" t="s">
        <v>208</v>
      </c>
      <c r="E91" s="24">
        <v>1</v>
      </c>
      <c r="F91" s="24">
        <v>1</v>
      </c>
      <c r="G91" s="24" t="s">
        <v>53</v>
      </c>
    </row>
    <row r="92" spans="1:7" ht="15" thickBot="1" x14ac:dyDescent="0.35">
      <c r="A92" s="21" t="s">
        <v>282</v>
      </c>
      <c r="B92" s="23" t="s">
        <v>287</v>
      </c>
      <c r="C92" s="23" t="s">
        <v>288</v>
      </c>
      <c r="D92" s="23" t="s">
        <v>208</v>
      </c>
      <c r="E92" s="24">
        <v>2</v>
      </c>
      <c r="F92" s="24">
        <v>2</v>
      </c>
      <c r="G92" s="24" t="s">
        <v>53</v>
      </c>
    </row>
    <row r="93" spans="1:7" ht="15" thickBot="1" x14ac:dyDescent="0.35">
      <c r="A93" s="21" t="s">
        <v>282</v>
      </c>
      <c r="B93" s="23" t="s">
        <v>289</v>
      </c>
      <c r="C93" s="23" t="s">
        <v>290</v>
      </c>
      <c r="D93" s="23" t="s">
        <v>229</v>
      </c>
      <c r="E93" s="24">
        <v>1</v>
      </c>
      <c r="F93" s="24">
        <v>1</v>
      </c>
      <c r="G93" s="24" t="s">
        <v>53</v>
      </c>
    </row>
    <row r="94" spans="1:7" ht="15" thickBot="1" x14ac:dyDescent="0.35">
      <c r="A94" s="25" t="s">
        <v>291</v>
      </c>
      <c r="B94" s="27" t="s">
        <v>292</v>
      </c>
      <c r="C94" s="27" t="s">
        <v>293</v>
      </c>
      <c r="D94" s="27" t="s">
        <v>206</v>
      </c>
      <c r="E94" s="28">
        <v>2</v>
      </c>
      <c r="F94" s="28">
        <v>2</v>
      </c>
      <c r="G94" s="28" t="s">
        <v>53</v>
      </c>
    </row>
    <row r="95" spans="1:7" ht="15" thickBot="1" x14ac:dyDescent="0.35">
      <c r="A95" s="25" t="s">
        <v>291</v>
      </c>
      <c r="B95" s="27" t="s">
        <v>294</v>
      </c>
      <c r="C95" s="27" t="s">
        <v>295</v>
      </c>
      <c r="D95" s="27" t="s">
        <v>209</v>
      </c>
      <c r="E95" s="28">
        <v>2</v>
      </c>
      <c r="F95" s="28">
        <v>2</v>
      </c>
      <c r="G95" s="28" t="s">
        <v>53</v>
      </c>
    </row>
    <row r="96" spans="1:7" ht="15.75" customHeight="1" thickBot="1" x14ac:dyDescent="0.35">
      <c r="A96" s="25" t="s">
        <v>291</v>
      </c>
      <c r="B96" s="27" t="s">
        <v>296</v>
      </c>
      <c r="C96" s="27" t="s">
        <v>297</v>
      </c>
      <c r="D96" s="27" t="s">
        <v>204</v>
      </c>
      <c r="E96" s="28">
        <v>1</v>
      </c>
      <c r="F96" s="28">
        <v>1</v>
      </c>
      <c r="G96" s="28" t="s">
        <v>53</v>
      </c>
    </row>
    <row r="97" spans="1:7" ht="15" thickBot="1" x14ac:dyDescent="0.35">
      <c r="A97" s="60"/>
      <c r="B97" s="30" t="s">
        <v>298</v>
      </c>
      <c r="C97" s="61"/>
      <c r="D97" s="61"/>
      <c r="E97" s="32">
        <f>SUM(E83:E96)</f>
        <v>21</v>
      </c>
      <c r="F97" s="32">
        <v>21</v>
      </c>
      <c r="G97" s="61"/>
    </row>
    <row r="98" spans="1:7" ht="15" thickBot="1" x14ac:dyDescent="0.35">
      <c r="A98" s="79" t="s">
        <v>299</v>
      </c>
      <c r="B98" s="80"/>
      <c r="C98" s="80"/>
      <c r="D98" s="80"/>
      <c r="E98" s="80"/>
      <c r="F98" s="80"/>
      <c r="G98" s="81"/>
    </row>
    <row r="99" spans="1:7" ht="15" thickBot="1" x14ac:dyDescent="0.35">
      <c r="A99" s="21" t="s">
        <v>300</v>
      </c>
      <c r="B99" s="23" t="s">
        <v>301</v>
      </c>
      <c r="C99" s="23" t="s">
        <v>302</v>
      </c>
      <c r="D99" s="23" t="s">
        <v>204</v>
      </c>
      <c r="E99" s="24">
        <v>1</v>
      </c>
      <c r="F99" s="24">
        <v>1</v>
      </c>
      <c r="G99" s="24" t="s">
        <v>53</v>
      </c>
    </row>
    <row r="100" spans="1:7" ht="15" thickBot="1" x14ac:dyDescent="0.35">
      <c r="A100" s="21" t="s">
        <v>300</v>
      </c>
      <c r="B100" s="23" t="s">
        <v>303</v>
      </c>
      <c r="C100" s="23" t="s">
        <v>304</v>
      </c>
      <c r="D100" s="23" t="s">
        <v>209</v>
      </c>
      <c r="E100" s="24">
        <v>1</v>
      </c>
      <c r="F100" s="24">
        <v>1</v>
      </c>
      <c r="G100" s="24" t="s">
        <v>53</v>
      </c>
    </row>
    <row r="101" spans="1:7" ht="15" thickBot="1" x14ac:dyDescent="0.35">
      <c r="A101" s="21" t="s">
        <v>300</v>
      </c>
      <c r="B101" s="23" t="s">
        <v>305</v>
      </c>
      <c r="C101" s="23" t="s">
        <v>306</v>
      </c>
      <c r="D101" s="23" t="s">
        <v>205</v>
      </c>
      <c r="E101" s="24">
        <v>3</v>
      </c>
      <c r="F101" s="24">
        <v>3</v>
      </c>
      <c r="G101" s="24" t="s">
        <v>53</v>
      </c>
    </row>
    <row r="102" spans="1:7" ht="15" thickBot="1" x14ac:dyDescent="0.35">
      <c r="A102" s="21" t="s">
        <v>300</v>
      </c>
      <c r="B102" s="23" t="s">
        <v>307</v>
      </c>
      <c r="C102" s="23" t="s">
        <v>308</v>
      </c>
      <c r="D102" s="23" t="s">
        <v>204</v>
      </c>
      <c r="E102" s="24">
        <v>1</v>
      </c>
      <c r="F102" s="24">
        <v>1</v>
      </c>
      <c r="G102" s="24" t="s">
        <v>53</v>
      </c>
    </row>
    <row r="103" spans="1:7" ht="15" thickBot="1" x14ac:dyDescent="0.35">
      <c r="A103" s="21" t="s">
        <v>309</v>
      </c>
      <c r="B103" s="23" t="s">
        <v>310</v>
      </c>
      <c r="C103" s="23" t="s">
        <v>311</v>
      </c>
      <c r="D103" s="23" t="s">
        <v>209</v>
      </c>
      <c r="E103" s="24">
        <v>2</v>
      </c>
      <c r="F103" s="24">
        <v>2</v>
      </c>
      <c r="G103" s="24" t="s">
        <v>53</v>
      </c>
    </row>
    <row r="104" spans="1:7" ht="15.75" customHeight="1" thickBot="1" x14ac:dyDescent="0.35">
      <c r="A104" s="21" t="s">
        <v>309</v>
      </c>
      <c r="B104" s="23" t="s">
        <v>312</v>
      </c>
      <c r="C104" s="23" t="s">
        <v>313</v>
      </c>
      <c r="D104" s="23" t="s">
        <v>207</v>
      </c>
      <c r="E104" s="24">
        <v>3</v>
      </c>
      <c r="F104" s="24">
        <v>3</v>
      </c>
      <c r="G104" s="24" t="s">
        <v>53</v>
      </c>
    </row>
    <row r="105" spans="1:7" ht="15" thickBot="1" x14ac:dyDescent="0.35">
      <c r="A105" s="21" t="s">
        <v>309</v>
      </c>
      <c r="B105" s="23" t="s">
        <v>314</v>
      </c>
      <c r="C105" s="23" t="s">
        <v>315</v>
      </c>
      <c r="D105" s="23" t="s">
        <v>229</v>
      </c>
      <c r="E105" s="24">
        <v>1</v>
      </c>
      <c r="F105" s="24">
        <v>1</v>
      </c>
      <c r="G105" s="24" t="s">
        <v>53</v>
      </c>
    </row>
    <row r="106" spans="1:7" ht="15" thickBot="1" x14ac:dyDescent="0.35">
      <c r="A106" s="25" t="s">
        <v>316</v>
      </c>
      <c r="B106" s="27" t="s">
        <v>317</v>
      </c>
      <c r="C106" s="27" t="s">
        <v>318</v>
      </c>
      <c r="D106" s="27" t="s">
        <v>229</v>
      </c>
      <c r="E106" s="28">
        <v>2</v>
      </c>
      <c r="F106" s="28">
        <v>2</v>
      </c>
      <c r="G106" s="28" t="s">
        <v>53</v>
      </c>
    </row>
    <row r="107" spans="1:7" ht="15" thickBot="1" x14ac:dyDescent="0.35">
      <c r="A107" s="25" t="s">
        <v>316</v>
      </c>
      <c r="B107" s="27" t="s">
        <v>319</v>
      </c>
      <c r="C107" s="27" t="s">
        <v>320</v>
      </c>
      <c r="D107" s="27" t="s">
        <v>208</v>
      </c>
      <c r="E107" s="28">
        <v>3</v>
      </c>
      <c r="F107" s="28">
        <v>3</v>
      </c>
      <c r="G107" s="28" t="s">
        <v>53</v>
      </c>
    </row>
    <row r="108" spans="1:7" ht="15" thickBot="1" x14ac:dyDescent="0.35">
      <c r="A108" s="25" t="s">
        <v>316</v>
      </c>
      <c r="B108" s="27" t="s">
        <v>321</v>
      </c>
      <c r="C108" s="27" t="s">
        <v>322</v>
      </c>
      <c r="D108" s="27" t="s">
        <v>206</v>
      </c>
      <c r="E108" s="28">
        <v>2</v>
      </c>
      <c r="F108" s="28">
        <v>2</v>
      </c>
      <c r="G108" s="28" t="s">
        <v>53</v>
      </c>
    </row>
    <row r="109" spans="1:7" ht="15" thickBot="1" x14ac:dyDescent="0.35">
      <c r="A109" s="25" t="s">
        <v>316</v>
      </c>
      <c r="B109" s="27" t="s">
        <v>323</v>
      </c>
      <c r="C109" s="27" t="s">
        <v>324</v>
      </c>
      <c r="D109" s="27" t="s">
        <v>206</v>
      </c>
      <c r="E109" s="28">
        <v>1</v>
      </c>
      <c r="F109" s="28">
        <v>1</v>
      </c>
      <c r="G109" s="28" t="s">
        <v>53</v>
      </c>
    </row>
    <row r="110" spans="1:7" ht="15" thickBot="1" x14ac:dyDescent="0.35">
      <c r="A110" s="65" t="s">
        <v>71</v>
      </c>
      <c r="B110" s="66"/>
      <c r="C110" s="66"/>
      <c r="D110" s="66"/>
      <c r="E110" s="67">
        <f>SUM(E99:E109)</f>
        <v>20</v>
      </c>
      <c r="F110" s="67">
        <f>SUM(F99:F109)</f>
        <v>20</v>
      </c>
      <c r="G110" s="66"/>
    </row>
    <row r="111" spans="1:7" x14ac:dyDescent="0.3">
      <c r="A111" s="68" t="s">
        <v>71</v>
      </c>
      <c r="B111" s="17"/>
      <c r="C111" s="69" t="s">
        <v>72</v>
      </c>
      <c r="D111" s="17"/>
      <c r="E111" s="68">
        <f>E110+E97+E81+E69+E60+E47+E34</f>
        <v>138</v>
      </c>
      <c r="F111" s="68">
        <f>F110+F97+F81+F69+F60+F47+F34</f>
        <v>138</v>
      </c>
      <c r="G111" s="17"/>
    </row>
    <row r="113" spans="1:2" x14ac:dyDescent="0.3">
      <c r="A113" s="53" t="s">
        <v>73</v>
      </c>
    </row>
    <row r="114" spans="1:2" x14ac:dyDescent="0.3">
      <c r="A114" s="70" t="s">
        <v>53</v>
      </c>
      <c r="B114" s="49" t="s">
        <v>74</v>
      </c>
    </row>
    <row r="115" spans="1:2" x14ac:dyDescent="0.3">
      <c r="A115" s="71" t="s">
        <v>75</v>
      </c>
      <c r="B115" s="49" t="s">
        <v>76</v>
      </c>
    </row>
    <row r="116" spans="1:2" x14ac:dyDescent="0.3">
      <c r="A116" s="55" t="s">
        <v>77</v>
      </c>
      <c r="B116" s="49" t="s">
        <v>78</v>
      </c>
    </row>
    <row r="117" spans="1:2" x14ac:dyDescent="0.3">
      <c r="A117" s="54" t="s">
        <v>79</v>
      </c>
      <c r="B117" s="49" t="s">
        <v>80</v>
      </c>
    </row>
  </sheetData>
  <mergeCells count="7">
    <mergeCell ref="A61:G61"/>
    <mergeCell ref="A70:G70"/>
    <mergeCell ref="A82:G82"/>
    <mergeCell ref="A98:G98"/>
    <mergeCell ref="A20:G20"/>
    <mergeCell ref="A35:G35"/>
    <mergeCell ref="A48:G48"/>
  </mergeCells>
  <dataValidations count="2">
    <dataValidation type="list" allowBlank="1" showInputMessage="1" showErrorMessage="1" sqref="D21:D33 D36:D46 D49:D59 D62:D68 D71:D80 D83:D96 D99:D109" xr:uid="{FF4D3772-6D7D-49FE-9525-8201AF64BA41}">
      <formula1>$L$27:$L$33</formula1>
    </dataValidation>
    <dataValidation type="list" allowBlank="1" showInputMessage="1" showErrorMessage="1" sqref="G36:G46 G21:G33" xr:uid="{92D23650-C146-49C0-BE06-FA6AE1F863B9}">
      <formula1>$V$27:$V$30</formula1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"/>
  <sheetViews>
    <sheetView showGridLines="0" topLeftCell="A15" zoomScale="72" zoomScaleNormal="145" workbookViewId="0">
      <selection activeCell="E29" sqref="E29"/>
    </sheetView>
  </sheetViews>
  <sheetFormatPr baseColWidth="10" defaultColWidth="8.6640625" defaultRowHeight="14.4" x14ac:dyDescent="0.3"/>
  <cols>
    <col min="1" max="1" width="28" customWidth="1"/>
    <col min="2" max="3" width="22" customWidth="1"/>
    <col min="4" max="4" width="14" customWidth="1"/>
    <col min="5" max="5" width="35" customWidth="1"/>
    <col min="6" max="6" width="12.44140625" customWidth="1"/>
  </cols>
  <sheetData>
    <row r="1" spans="1:6" ht="22.8" x14ac:dyDescent="0.4">
      <c r="A1" s="13" t="s">
        <v>81</v>
      </c>
    </row>
    <row r="2" spans="1:6" x14ac:dyDescent="0.3">
      <c r="A2" s="9" t="s">
        <v>82</v>
      </c>
    </row>
    <row r="4" spans="1:6" x14ac:dyDescent="0.3">
      <c r="A4" s="3" t="s">
        <v>83</v>
      </c>
      <c r="B4" s="9" t="s">
        <v>84</v>
      </c>
    </row>
    <row r="5" spans="1:6" x14ac:dyDescent="0.3">
      <c r="A5" s="3" t="s">
        <v>85</v>
      </c>
      <c r="B5" s="9" t="s">
        <v>86</v>
      </c>
    </row>
    <row r="7" spans="1:6" x14ac:dyDescent="0.3">
      <c r="A7" s="38" t="s">
        <v>87</v>
      </c>
      <c r="B7" s="38" t="s">
        <v>88</v>
      </c>
      <c r="C7" s="38" t="s">
        <v>89</v>
      </c>
      <c r="D7" s="38" t="s">
        <v>90</v>
      </c>
      <c r="E7" s="38" t="s">
        <v>91</v>
      </c>
      <c r="F7" s="33" t="s">
        <v>196</v>
      </c>
    </row>
    <row r="8" spans="1:6" ht="39.6" x14ac:dyDescent="0.3">
      <c r="A8" s="34" t="s">
        <v>92</v>
      </c>
      <c r="B8" s="35">
        <v>21</v>
      </c>
      <c r="C8" s="35">
        <v>21</v>
      </c>
      <c r="D8" s="35">
        <v>0</v>
      </c>
      <c r="E8" s="36" t="s">
        <v>211</v>
      </c>
      <c r="F8" s="76" t="s">
        <v>197</v>
      </c>
    </row>
    <row r="9" spans="1:6" ht="52.8" x14ac:dyDescent="0.3">
      <c r="A9" s="34" t="s">
        <v>93</v>
      </c>
      <c r="B9" s="35">
        <f>B8-7</f>
        <v>14</v>
      </c>
      <c r="C9" s="35">
        <v>18</v>
      </c>
      <c r="D9" s="35">
        <f>C9-B9</f>
        <v>4</v>
      </c>
      <c r="E9" s="36" t="s">
        <v>212</v>
      </c>
      <c r="F9" s="76"/>
    </row>
    <row r="10" spans="1:6" ht="52.8" x14ac:dyDescent="0.3">
      <c r="A10" s="34" t="s">
        <v>94</v>
      </c>
      <c r="B10" s="35">
        <f>B9-7</f>
        <v>7</v>
      </c>
      <c r="C10" s="35">
        <v>10</v>
      </c>
      <c r="D10" s="35">
        <f t="shared" ref="D10:D17" si="0">C10-B10</f>
        <v>3</v>
      </c>
      <c r="E10" s="73" t="s">
        <v>213</v>
      </c>
      <c r="F10" s="76"/>
    </row>
    <row r="11" spans="1:6" ht="39.6" x14ac:dyDescent="0.3">
      <c r="A11" s="34" t="s">
        <v>95</v>
      </c>
      <c r="B11" s="35">
        <v>0</v>
      </c>
      <c r="C11" s="35">
        <v>2</v>
      </c>
      <c r="D11" s="35">
        <f>C11-B11</f>
        <v>2</v>
      </c>
      <c r="E11" s="36" t="s">
        <v>214</v>
      </c>
      <c r="F11" s="76"/>
    </row>
    <row r="12" spans="1:6" ht="15" thickBot="1" x14ac:dyDescent="0.35">
      <c r="A12" s="41" t="s">
        <v>96</v>
      </c>
      <c r="B12" s="35">
        <v>0</v>
      </c>
      <c r="C12" s="35">
        <v>0</v>
      </c>
      <c r="D12" s="35">
        <f t="shared" si="0"/>
        <v>0</v>
      </c>
      <c r="E12" s="43" t="s">
        <v>97</v>
      </c>
      <c r="F12" s="77"/>
    </row>
    <row r="13" spans="1:6" ht="66" x14ac:dyDescent="0.3">
      <c r="A13" s="44" t="s">
        <v>92</v>
      </c>
      <c r="B13" s="45">
        <v>22</v>
      </c>
      <c r="C13" s="45">
        <v>22</v>
      </c>
      <c r="D13" s="45">
        <f t="shared" si="0"/>
        <v>0</v>
      </c>
      <c r="E13" s="73" t="s">
        <v>325</v>
      </c>
      <c r="F13" s="78" t="s">
        <v>198</v>
      </c>
    </row>
    <row r="14" spans="1:6" ht="66" x14ac:dyDescent="0.3">
      <c r="A14" s="34" t="s">
        <v>93</v>
      </c>
      <c r="B14" s="35">
        <v>14</v>
      </c>
      <c r="C14" s="35">
        <v>16</v>
      </c>
      <c r="D14" s="35">
        <f t="shared" si="0"/>
        <v>2</v>
      </c>
      <c r="E14" s="73" t="s">
        <v>326</v>
      </c>
      <c r="F14" s="76"/>
    </row>
    <row r="15" spans="1:6" ht="66.599999999999994" thickBot="1" x14ac:dyDescent="0.35">
      <c r="A15" s="34" t="s">
        <v>94</v>
      </c>
      <c r="B15" s="35">
        <v>7</v>
      </c>
      <c r="C15" s="35">
        <v>10</v>
      </c>
      <c r="D15" s="35">
        <f t="shared" si="0"/>
        <v>3</v>
      </c>
      <c r="E15" s="74" t="s">
        <v>327</v>
      </c>
      <c r="F15" s="76"/>
    </row>
    <row r="16" spans="1:6" ht="53.4" thickBot="1" x14ac:dyDescent="0.35">
      <c r="A16" s="34" t="s">
        <v>95</v>
      </c>
      <c r="B16" s="35">
        <v>0</v>
      </c>
      <c r="C16" s="35">
        <v>3</v>
      </c>
      <c r="D16" s="35">
        <f t="shared" si="0"/>
        <v>3</v>
      </c>
      <c r="E16" s="43" t="s">
        <v>328</v>
      </c>
      <c r="F16" s="76"/>
    </row>
    <row r="17" spans="1:6" ht="40.200000000000003" thickBot="1" x14ac:dyDescent="0.35">
      <c r="A17" s="41" t="s">
        <v>96</v>
      </c>
      <c r="B17" s="42">
        <v>0</v>
      </c>
      <c r="C17" s="42">
        <v>1</v>
      </c>
      <c r="D17" s="42">
        <f t="shared" si="0"/>
        <v>1</v>
      </c>
      <c r="E17" s="43" t="s">
        <v>329</v>
      </c>
      <c r="F17" s="77"/>
    </row>
    <row r="18" spans="1:6" ht="66.599999999999994" thickBot="1" x14ac:dyDescent="0.35">
      <c r="A18" s="39" t="s">
        <v>92</v>
      </c>
      <c r="B18" s="40">
        <v>21</v>
      </c>
      <c r="C18" s="40">
        <v>21</v>
      </c>
      <c r="D18" s="40">
        <v>0</v>
      </c>
      <c r="E18" s="43" t="s">
        <v>330</v>
      </c>
      <c r="F18" s="75" t="s">
        <v>199</v>
      </c>
    </row>
    <row r="19" spans="1:6" ht="53.4" thickBot="1" x14ac:dyDescent="0.35">
      <c r="A19" s="34" t="s">
        <v>93</v>
      </c>
      <c r="B19" s="35">
        <v>14</v>
      </c>
      <c r="C19" s="35">
        <v>15</v>
      </c>
      <c r="D19" s="35">
        <v>1</v>
      </c>
      <c r="E19" s="43" t="s">
        <v>331</v>
      </c>
      <c r="F19" s="76"/>
    </row>
    <row r="20" spans="1:6" ht="66.599999999999994" thickBot="1" x14ac:dyDescent="0.35">
      <c r="A20" s="34" t="s">
        <v>94</v>
      </c>
      <c r="B20" s="35">
        <v>7</v>
      </c>
      <c r="C20" s="35">
        <v>8</v>
      </c>
      <c r="D20" s="35">
        <v>1</v>
      </c>
      <c r="E20" s="43" t="s">
        <v>332</v>
      </c>
      <c r="F20" s="76"/>
    </row>
    <row r="21" spans="1:6" ht="66.599999999999994" thickBot="1" x14ac:dyDescent="0.35">
      <c r="A21" s="34" t="s">
        <v>95</v>
      </c>
      <c r="B21" s="35">
        <v>0</v>
      </c>
      <c r="C21" s="35">
        <v>2</v>
      </c>
      <c r="D21" s="35">
        <v>2</v>
      </c>
      <c r="E21" s="43" t="s">
        <v>333</v>
      </c>
      <c r="F21" s="76"/>
    </row>
    <row r="22" spans="1:6" ht="40.200000000000003" thickBot="1" x14ac:dyDescent="0.35">
      <c r="A22" s="41" t="s">
        <v>96</v>
      </c>
      <c r="B22" s="42">
        <v>0</v>
      </c>
      <c r="C22" s="42">
        <v>0</v>
      </c>
      <c r="D22" s="42">
        <v>0</v>
      </c>
      <c r="E22" s="43" t="s">
        <v>334</v>
      </c>
      <c r="F22" s="77"/>
    </row>
    <row r="23" spans="1:6" ht="40.200000000000003" thickBot="1" x14ac:dyDescent="0.35">
      <c r="A23" s="39" t="s">
        <v>92</v>
      </c>
      <c r="B23" s="40">
        <v>13</v>
      </c>
      <c r="C23" s="40">
        <v>13</v>
      </c>
      <c r="D23" s="40">
        <v>0</v>
      </c>
      <c r="E23" s="43" t="s">
        <v>335</v>
      </c>
      <c r="F23" s="75" t="s">
        <v>200</v>
      </c>
    </row>
    <row r="24" spans="1:6" ht="40.200000000000003" thickBot="1" x14ac:dyDescent="0.35">
      <c r="A24" s="34" t="s">
        <v>93</v>
      </c>
      <c r="B24" s="35">
        <v>9</v>
      </c>
      <c r="C24" s="35">
        <v>9</v>
      </c>
      <c r="D24" s="35">
        <v>0</v>
      </c>
      <c r="E24" s="43" t="s">
        <v>336</v>
      </c>
      <c r="F24" s="76"/>
    </row>
    <row r="25" spans="1:6" ht="66.599999999999994" thickBot="1" x14ac:dyDescent="0.35">
      <c r="A25" s="34" t="s">
        <v>94</v>
      </c>
      <c r="B25" s="35">
        <v>4</v>
      </c>
      <c r="C25" s="35">
        <v>5</v>
      </c>
      <c r="D25" s="35">
        <v>1</v>
      </c>
      <c r="E25" s="43" t="s">
        <v>337</v>
      </c>
      <c r="F25" s="76"/>
    </row>
    <row r="26" spans="1:6" ht="66.599999999999994" thickBot="1" x14ac:dyDescent="0.35">
      <c r="A26" s="34" t="s">
        <v>95</v>
      </c>
      <c r="B26" s="35">
        <v>0</v>
      </c>
      <c r="C26" s="35">
        <v>1</v>
      </c>
      <c r="D26" s="35">
        <v>1</v>
      </c>
      <c r="E26" s="43" t="s">
        <v>338</v>
      </c>
      <c r="F26" s="76"/>
    </row>
    <row r="27" spans="1:6" ht="40.200000000000003" thickBot="1" x14ac:dyDescent="0.35">
      <c r="A27" s="41" t="s">
        <v>96</v>
      </c>
      <c r="B27" s="42">
        <v>0</v>
      </c>
      <c r="C27" s="42">
        <v>0</v>
      </c>
      <c r="D27" s="42">
        <v>0</v>
      </c>
      <c r="E27" s="43" t="s">
        <v>339</v>
      </c>
      <c r="F27" s="77"/>
    </row>
    <row r="28" spans="1:6" ht="15" thickBot="1" x14ac:dyDescent="0.35">
      <c r="A28" s="39" t="s">
        <v>92</v>
      </c>
      <c r="B28" s="40">
        <v>20</v>
      </c>
      <c r="C28" s="40">
        <v>20</v>
      </c>
      <c r="D28" s="40">
        <v>0</v>
      </c>
      <c r="E28" s="43" t="s">
        <v>97</v>
      </c>
      <c r="F28" s="75" t="s">
        <v>201</v>
      </c>
    </row>
    <row r="29" spans="1:6" ht="15" thickBot="1" x14ac:dyDescent="0.35">
      <c r="A29" s="34" t="s">
        <v>93</v>
      </c>
      <c r="B29" s="35">
        <v>13</v>
      </c>
      <c r="C29" s="35">
        <v>14</v>
      </c>
      <c r="D29" s="35">
        <v>1</v>
      </c>
      <c r="E29" s="43" t="s">
        <v>97</v>
      </c>
      <c r="F29" s="76"/>
    </row>
    <row r="30" spans="1:6" ht="15" thickBot="1" x14ac:dyDescent="0.35">
      <c r="A30" s="34" t="s">
        <v>94</v>
      </c>
      <c r="B30" s="35">
        <v>7</v>
      </c>
      <c r="C30" s="35">
        <v>9</v>
      </c>
      <c r="D30" s="35">
        <v>2</v>
      </c>
      <c r="E30" s="43" t="s">
        <v>97</v>
      </c>
      <c r="F30" s="76"/>
    </row>
    <row r="31" spans="1:6" ht="15" thickBot="1" x14ac:dyDescent="0.35">
      <c r="A31" s="34" t="s">
        <v>95</v>
      </c>
      <c r="B31" s="35">
        <v>0</v>
      </c>
      <c r="C31" s="35">
        <v>2</v>
      </c>
      <c r="D31" s="35">
        <v>2</v>
      </c>
      <c r="E31" s="43" t="s">
        <v>97</v>
      </c>
      <c r="F31" s="76"/>
    </row>
    <row r="32" spans="1:6" ht="15" thickBot="1" x14ac:dyDescent="0.35">
      <c r="A32" s="41" t="s">
        <v>96</v>
      </c>
      <c r="B32" s="42">
        <v>0</v>
      </c>
      <c r="C32" s="42">
        <v>0</v>
      </c>
      <c r="D32" s="42">
        <v>0</v>
      </c>
      <c r="E32" s="43" t="s">
        <v>97</v>
      </c>
      <c r="F32" s="77"/>
    </row>
    <row r="33" spans="1:6" ht="15" thickBot="1" x14ac:dyDescent="0.35">
      <c r="A33" s="39" t="s">
        <v>92</v>
      </c>
      <c r="B33" s="40">
        <v>21</v>
      </c>
      <c r="C33" s="40">
        <v>21</v>
      </c>
      <c r="D33" s="40">
        <v>0</v>
      </c>
      <c r="E33" s="43" t="s">
        <v>97</v>
      </c>
      <c r="F33" s="75" t="s">
        <v>202</v>
      </c>
    </row>
    <row r="34" spans="1:6" ht="15" thickBot="1" x14ac:dyDescent="0.35">
      <c r="A34" s="34" t="s">
        <v>93</v>
      </c>
      <c r="B34" s="35">
        <v>13</v>
      </c>
      <c r="C34" s="35">
        <v>15</v>
      </c>
      <c r="D34" s="35">
        <v>2</v>
      </c>
      <c r="E34" s="43" t="s">
        <v>97</v>
      </c>
      <c r="F34" s="76"/>
    </row>
    <row r="35" spans="1:6" ht="15" thickBot="1" x14ac:dyDescent="0.35">
      <c r="A35" s="34" t="s">
        <v>94</v>
      </c>
      <c r="B35" s="35">
        <v>7</v>
      </c>
      <c r="C35" s="72">
        <v>10</v>
      </c>
      <c r="D35" s="35">
        <v>3</v>
      </c>
      <c r="E35" s="43" t="s">
        <v>97</v>
      </c>
      <c r="F35" s="76"/>
    </row>
    <row r="36" spans="1:6" ht="15" thickBot="1" x14ac:dyDescent="0.35">
      <c r="A36" s="34" t="s">
        <v>95</v>
      </c>
      <c r="B36" s="35">
        <v>0</v>
      </c>
      <c r="C36" s="35">
        <v>3</v>
      </c>
      <c r="D36" s="35">
        <v>3</v>
      </c>
      <c r="E36" s="43" t="s">
        <v>97</v>
      </c>
      <c r="F36" s="76"/>
    </row>
    <row r="37" spans="1:6" ht="15" thickBot="1" x14ac:dyDescent="0.35">
      <c r="A37" s="41" t="s">
        <v>96</v>
      </c>
      <c r="B37" s="42">
        <v>0</v>
      </c>
      <c r="C37" s="42">
        <v>1</v>
      </c>
      <c r="D37" s="42">
        <v>1</v>
      </c>
      <c r="E37" s="43" t="s">
        <v>97</v>
      </c>
      <c r="F37" s="77"/>
    </row>
    <row r="38" spans="1:6" ht="15" thickBot="1" x14ac:dyDescent="0.35">
      <c r="A38" s="39" t="s">
        <v>92</v>
      </c>
      <c r="B38" s="40">
        <v>20</v>
      </c>
      <c r="C38" s="40">
        <v>20</v>
      </c>
      <c r="D38" s="40">
        <v>0</v>
      </c>
      <c r="E38" s="43" t="s">
        <v>97</v>
      </c>
      <c r="F38" s="75" t="s">
        <v>203</v>
      </c>
    </row>
    <row r="39" spans="1:6" ht="15" thickBot="1" x14ac:dyDescent="0.35">
      <c r="A39" s="34" t="s">
        <v>93</v>
      </c>
      <c r="B39" s="35">
        <v>13</v>
      </c>
      <c r="C39" s="35">
        <v>14</v>
      </c>
      <c r="D39" s="35">
        <v>1</v>
      </c>
      <c r="E39" s="43" t="s">
        <v>97</v>
      </c>
      <c r="F39" s="76"/>
    </row>
    <row r="40" spans="1:6" ht="15" thickBot="1" x14ac:dyDescent="0.35">
      <c r="A40" s="34" t="s">
        <v>94</v>
      </c>
      <c r="B40" s="35">
        <v>7</v>
      </c>
      <c r="C40" s="35">
        <v>8</v>
      </c>
      <c r="D40" s="35">
        <v>1</v>
      </c>
      <c r="E40" s="43" t="s">
        <v>97</v>
      </c>
      <c r="F40" s="76"/>
    </row>
    <row r="41" spans="1:6" ht="15" thickBot="1" x14ac:dyDescent="0.35">
      <c r="A41" s="34" t="s">
        <v>95</v>
      </c>
      <c r="B41" s="37">
        <v>0</v>
      </c>
      <c r="C41" s="37">
        <v>1</v>
      </c>
      <c r="D41" s="37">
        <v>1</v>
      </c>
      <c r="E41" s="43" t="s">
        <v>97</v>
      </c>
      <c r="F41" s="76"/>
    </row>
    <row r="42" spans="1:6" ht="15" thickBot="1" x14ac:dyDescent="0.35">
      <c r="A42" s="41" t="s">
        <v>96</v>
      </c>
      <c r="B42" s="46">
        <v>0</v>
      </c>
      <c r="C42" s="46">
        <v>0</v>
      </c>
      <c r="D42" s="46">
        <v>0</v>
      </c>
      <c r="E42" s="43" t="s">
        <v>97</v>
      </c>
      <c r="F42" s="77"/>
    </row>
    <row r="44" spans="1:6" x14ac:dyDescent="0.3">
      <c r="A44" s="3" t="s">
        <v>98</v>
      </c>
      <c r="B44" s="7" t="s">
        <v>99</v>
      </c>
    </row>
    <row r="46" spans="1:6" x14ac:dyDescent="0.3">
      <c r="A46" s="3" t="s">
        <v>100</v>
      </c>
    </row>
    <row r="47" spans="1:6" x14ac:dyDescent="0.3">
      <c r="A47" s="14" t="s">
        <v>101</v>
      </c>
      <c r="B47" s="9" t="s">
        <v>102</v>
      </c>
    </row>
    <row r="48" spans="1:6" x14ac:dyDescent="0.3">
      <c r="A48" s="18" t="s">
        <v>103</v>
      </c>
      <c r="B48" s="9" t="s">
        <v>104</v>
      </c>
    </row>
    <row r="49" spans="1:2" x14ac:dyDescent="0.3">
      <c r="A49" s="14" t="s">
        <v>105</v>
      </c>
      <c r="B49" s="9" t="s">
        <v>106</v>
      </c>
    </row>
    <row r="50" spans="1:2" x14ac:dyDescent="0.3">
      <c r="A50" s="15" t="s">
        <v>107</v>
      </c>
      <c r="B50" s="9" t="s">
        <v>108</v>
      </c>
    </row>
  </sheetData>
  <mergeCells count="7">
    <mergeCell ref="F38:F42"/>
    <mergeCell ref="F8:F12"/>
    <mergeCell ref="F13:F17"/>
    <mergeCell ref="F18:F22"/>
    <mergeCell ref="F23:F27"/>
    <mergeCell ref="F28:F32"/>
    <mergeCell ref="F33:F37"/>
  </mergeCells>
  <phoneticPr fontId="25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15"/>
  <sheetViews>
    <sheetView zoomScaleNormal="100" workbookViewId="0">
      <selection activeCell="B25" sqref="B25"/>
    </sheetView>
  </sheetViews>
  <sheetFormatPr baseColWidth="10" defaultColWidth="8.6640625" defaultRowHeight="14.4" x14ac:dyDescent="0.3"/>
  <cols>
    <col min="1" max="1" width="7.33203125" customWidth="1"/>
    <col min="2" max="2" width="84.33203125" customWidth="1"/>
    <col min="3" max="3" width="40.6640625" customWidth="1"/>
    <col min="4" max="4" width="41.88671875" customWidth="1"/>
  </cols>
  <sheetData>
    <row r="2" spans="1:4" ht="17.399999999999999" x14ac:dyDescent="0.3">
      <c r="B2" s="2" t="s">
        <v>109</v>
      </c>
    </row>
    <row r="3" spans="1:4" x14ac:dyDescent="0.3">
      <c r="B3" s="9" t="s">
        <v>110</v>
      </c>
    </row>
    <row r="5" spans="1:4" x14ac:dyDescent="0.3">
      <c r="A5" s="16"/>
      <c r="B5" s="16" t="s">
        <v>111</v>
      </c>
      <c r="C5" s="16" t="s">
        <v>112</v>
      </c>
      <c r="D5" t="s">
        <v>113</v>
      </c>
    </row>
    <row r="6" spans="1:4" x14ac:dyDescent="0.3">
      <c r="B6" s="19" t="s">
        <v>114</v>
      </c>
      <c r="C6" s="20" t="s">
        <v>115</v>
      </c>
      <c r="D6" s="19" t="s">
        <v>116</v>
      </c>
    </row>
    <row r="7" spans="1:4" x14ac:dyDescent="0.3">
      <c r="B7" s="19" t="s">
        <v>117</v>
      </c>
      <c r="C7" s="20" t="s">
        <v>115</v>
      </c>
      <c r="D7" s="19" t="s">
        <v>116</v>
      </c>
    </row>
    <row r="8" spans="1:4" x14ac:dyDescent="0.3">
      <c r="B8" s="19" t="s">
        <v>118</v>
      </c>
      <c r="C8" s="20" t="s">
        <v>115</v>
      </c>
      <c r="D8" s="19" t="s">
        <v>116</v>
      </c>
    </row>
    <row r="9" spans="1:4" x14ac:dyDescent="0.3">
      <c r="B9" s="19" t="s">
        <v>119</v>
      </c>
      <c r="C9" s="20" t="s">
        <v>115</v>
      </c>
      <c r="D9" s="19" t="s">
        <v>116</v>
      </c>
    </row>
    <row r="10" spans="1:4" x14ac:dyDescent="0.3">
      <c r="B10" s="19" t="s">
        <v>120</v>
      </c>
      <c r="C10" s="20" t="s">
        <v>115</v>
      </c>
      <c r="D10" s="19" t="s">
        <v>116</v>
      </c>
    </row>
    <row r="11" spans="1:4" x14ac:dyDescent="0.3">
      <c r="B11" s="19" t="s">
        <v>121</v>
      </c>
      <c r="C11" s="20" t="s">
        <v>115</v>
      </c>
      <c r="D11" s="19" t="s">
        <v>116</v>
      </c>
    </row>
    <row r="12" spans="1:4" x14ac:dyDescent="0.3">
      <c r="B12" s="19" t="s">
        <v>122</v>
      </c>
      <c r="C12" s="20" t="s">
        <v>115</v>
      </c>
      <c r="D12" s="19" t="s">
        <v>116</v>
      </c>
    </row>
    <row r="13" spans="1:4" x14ac:dyDescent="0.3">
      <c r="B13" s="19" t="s">
        <v>123</v>
      </c>
      <c r="C13" s="20" t="s">
        <v>115</v>
      </c>
      <c r="D13" s="19" t="s">
        <v>116</v>
      </c>
    </row>
    <row r="14" spans="1:4" x14ac:dyDescent="0.3">
      <c r="B14" s="19" t="s">
        <v>124</v>
      </c>
      <c r="C14" s="20" t="s">
        <v>115</v>
      </c>
      <c r="D14" s="19" t="s">
        <v>116</v>
      </c>
    </row>
    <row r="15" spans="1:4" x14ac:dyDescent="0.3">
      <c r="B15" s="19" t="s">
        <v>125</v>
      </c>
      <c r="C15" s="20" t="s">
        <v>126</v>
      </c>
      <c r="D15" s="19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Garde</vt:lpstr>
      <vt:lpstr>Identification</vt:lpstr>
      <vt:lpstr>Sprint</vt:lpstr>
      <vt:lpstr>Burndown Sprint</vt:lpstr>
      <vt:lpstr>Auto-évaluation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Killian</cp:lastModifiedBy>
  <cp:revision>0</cp:revision>
  <dcterms:created xsi:type="dcterms:W3CDTF">2026-06-25T22:39:08Z</dcterms:created>
  <dcterms:modified xsi:type="dcterms:W3CDTF">2026-07-01T14:25:10Z</dcterms:modified>
  <dc:language>en-US</dc:language>
</cp:coreProperties>
</file>